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ynthèse" sheetId="1" state="visible" r:id="rId1"/>
    <sheet name="AUTH" sheetId="2" state="visible" r:id="rId2"/>
    <sheet name="LIVREUR" sheetId="3" state="visible" r:id="rId3"/>
    <sheet name="MAGASIN" sheetId="4" state="visible" r:id="rId4"/>
    <sheet name="ADV" sheetId="5" state="visible" r:id="rId5"/>
    <sheet name="ADMIN" sheetId="6" state="visible" r:id="rId6"/>
    <sheet name="PLANNING" sheetId="7" state="visible" r:id="rId7"/>
    <sheet name="Webhook Make" sheetId="8" state="visible" r:id="rId8"/>
    <sheet name="Non-régression"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1F3864"/>
      <sz val="11"/>
    </font>
    <font>
      <name val="Arial"/>
      <charset val="1"/>
      <family val="0"/>
      <b val="1"/>
      <sz val="10"/>
    </font>
    <font>
      <name val="Arial"/>
      <charset val="1"/>
      <family val="0"/>
      <sz val="10"/>
    </font>
    <font>
      <name val="Arial"/>
      <charset val="1"/>
      <family val="0"/>
      <b val="1"/>
      <color rgb="FFFFFFFF"/>
      <sz val="10"/>
    </font>
  </fonts>
  <fills count="7">
    <fill>
      <patternFill/>
    </fill>
    <fill>
      <patternFill patternType="gray125"/>
    </fill>
    <fill>
      <patternFill patternType="solid">
        <fgColor rgb="FF1F3864"/>
        <bgColor rgb="FF333333"/>
      </patternFill>
    </fill>
    <fill>
      <patternFill patternType="solid">
        <fgColor rgb="FF1E7B34"/>
        <bgColor rgb="FF008080"/>
      </patternFill>
    </fill>
    <fill>
      <patternFill patternType="solid">
        <fgColor rgb="FFB00020"/>
        <bgColor rgb="FF800000"/>
      </patternFill>
    </fill>
    <fill>
      <patternFill patternType="solid">
        <fgColor rgb="FFB8860B"/>
        <bgColor rgb="FFFF9900"/>
      </patternFill>
    </fill>
    <fill>
      <patternFill patternType="solid">
        <fgColor rgb="FF808080"/>
        <bgColor rgb="FF9696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bottom"/>
    </xf>
    <xf numFmtId="0" fontId="8" fillId="0" borderId="1" applyAlignment="1" pivotButton="0" quotePrefix="0" xfId="0">
      <alignment horizontal="center" vertical="center" wrapText="1"/>
    </xf>
    <xf numFmtId="0" fontId="7"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bottom"/>
    </xf>
    <xf numFmtId="0" fontId="8" fillId="0" borderId="1" applyAlignment="1" pivotButton="0" quotePrefix="0" xfId="0">
      <alignment horizontal="center" vertical="center" wrapText="1"/>
    </xf>
    <xf numFmtId="0" fontId="7"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1E7B34"/>
      <rgbColor rgb="FF000080"/>
      <rgbColor rgb="FFB8860B"/>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G4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 customWidth="1" style="15" min="1" max="1"/>
    <col width="28" customWidth="1" style="15" min="2" max="2"/>
    <col width="55" customWidth="1" style="15" min="3" max="3"/>
    <col width="18" customWidth="1" style="15" min="4" max="4"/>
  </cols>
  <sheetData>
    <row r="2" ht="19.7" customHeight="1" s="16">
      <c r="B2" s="17" t="inlineStr">
        <is>
          <t>CAHIER DE RECETTE — LIVRIAL</t>
        </is>
      </c>
    </row>
    <row r="3" ht="15" customHeight="1" s="16">
      <c r="B3" s="18" t="inlineStr">
        <is>
          <t>Groupe Atrial — Application de gestion des tournées de livraison</t>
        </is>
      </c>
    </row>
    <row r="5" ht="15" customHeight="1" s="16">
      <c r="B5" s="19" t="inlineStr">
        <is>
          <t>INFORMATIONS GÉNÉRALES</t>
        </is>
      </c>
    </row>
    <row r="6" ht="18" customHeight="1" s="16">
      <c r="B6" s="20" t="inlineStr">
        <is>
          <t>Application</t>
        </is>
      </c>
      <c r="C6" s="21" t="inlineStr">
        <is>
          <t>LIVRIAL</t>
        </is>
      </c>
    </row>
    <row r="7" ht="18" customHeight="1" s="16">
      <c r="B7" s="20" t="inlineStr">
        <is>
          <t>Client</t>
        </is>
      </c>
      <c r="C7" s="21" t="inlineStr">
        <is>
          <t>Groupe Atrial (menuiserie industrielle BtoB, Brignoles — 83)</t>
        </is>
      </c>
    </row>
    <row r="8" ht="18" customHeight="1" s="16">
      <c r="B8" s="20" t="inlineStr">
        <is>
          <t>URL testée</t>
        </is>
      </c>
      <c r="C8" s="21" t="inlineStr">
        <is>
          <t>https://livria.vercel.app/</t>
        </is>
      </c>
    </row>
    <row r="9" ht="18" customHeight="1" s="16">
      <c r="B9" s="20" t="inlineStr">
        <is>
          <t>Environnement</t>
        </is>
      </c>
      <c r="C9" s="21" t="inlineStr">
        <is>
          <t>Production Vercel — Base de données Supabase (EU, Frankfurt)</t>
        </is>
      </c>
    </row>
    <row r="10" ht="18" customHeight="1" s="16">
      <c r="B10" s="20" t="inlineStr">
        <is>
          <t>Rôles couverts</t>
        </is>
      </c>
      <c r="C10" s="21" t="inlineStr">
        <is>
          <t>LIVREUR · MAGASIN · ADV · ADMIN</t>
        </is>
      </c>
    </row>
    <row r="11" ht="18" customHeight="1" s="16">
      <c r="B11" s="20" t="inlineStr">
        <is>
          <t>Rédacteur</t>
        </is>
      </c>
      <c r="C11" s="21" t="inlineStr">
        <is>
          <t>MIA — Médiation Intelligence Appliquée</t>
        </is>
      </c>
    </row>
    <row r="12" ht="18" customHeight="1" s="16">
      <c r="B12" s="20" t="inlineStr">
        <is>
          <t>Date de création</t>
        </is>
      </c>
      <c r="C12" s="21" t="inlineStr">
        <is>
          <t>09/07/2026</t>
        </is>
      </c>
    </row>
    <row r="13" ht="18" customHeight="1" s="16">
      <c r="B13" s="20" t="inlineStr">
        <is>
          <t>Version du document</t>
        </is>
      </c>
      <c r="C13" s="21" t="inlineStr">
        <is>
          <t>V2</t>
        </is>
      </c>
    </row>
    <row r="14">
      <c r="B14" s="20" t="inlineStr">
        <is>
          <t>Dernière mise à jour</t>
        </is>
      </c>
      <c r="C14" s="21" t="inlineStr">
        <is>
          <t>04/08/2026</t>
        </is>
      </c>
    </row>
    <row r="15" ht="15" customHeight="1" s="16">
      <c r="B15" s="19" t="inlineStr">
        <is>
          <t>COMPTES DE TEST</t>
        </is>
      </c>
    </row>
    <row r="16" ht="15" customHeight="1" s="16">
      <c r="B16" s="22" t="inlineStr">
        <is>
          <t>Rôle</t>
        </is>
      </c>
      <c r="C16" s="22" t="inlineStr">
        <is>
          <t>Email</t>
        </is>
      </c>
      <c r="D16" s="22" t="inlineStr">
        <is>
          <t>Mot de passe</t>
        </is>
      </c>
    </row>
    <row r="17" ht="15" customHeight="1" s="16">
      <c r="B17" s="21" t="inlineStr">
        <is>
          <t>ADMIN</t>
        </is>
      </c>
      <c r="C17" s="21" t="inlineStr">
        <is>
          <t>admin@atrial.fr</t>
        </is>
      </c>
      <c r="D17" s="21" t="inlineStr">
        <is>
          <t>Admin123</t>
        </is>
      </c>
    </row>
    <row r="18" ht="15" customHeight="1" s="16">
      <c r="B18" s="21" t="inlineStr">
        <is>
          <t>ADV</t>
        </is>
      </c>
      <c r="C18" s="21" t="inlineStr">
        <is>
          <t>adv@atrial.fr</t>
        </is>
      </c>
      <c r="D18" s="21" t="inlineStr">
        <is>
          <t>Adv123</t>
        </is>
      </c>
    </row>
    <row r="19" ht="15" customHeight="1" s="16">
      <c r="B19" s="21" t="inlineStr">
        <is>
          <t>LIVREUR</t>
        </is>
      </c>
      <c r="C19" s="21" t="inlineStr">
        <is>
          <t>livreur@atrial.fr</t>
        </is>
      </c>
      <c r="D19" s="21" t="inlineStr">
        <is>
          <t>Livreur123</t>
        </is>
      </c>
    </row>
    <row r="20" ht="15" customHeight="1" s="16">
      <c r="B20" s="21" t="inlineStr">
        <is>
          <t>MAGASIN</t>
        </is>
      </c>
      <c r="C20" s="21" t="inlineStr">
        <is>
          <t>(compte à créer via Admin — rôle MAGASIN)</t>
        </is>
      </c>
      <c r="D20" s="21" t="inlineStr">
        <is>
          <t>—</t>
        </is>
      </c>
    </row>
    <row r="22" ht="15" customHeight="1" s="16">
      <c r="B22" s="19" t="inlineStr">
        <is>
          <t>LÉGENDE STATUT</t>
        </is>
      </c>
    </row>
    <row r="23" ht="15" customHeight="1" s="16">
      <c r="B23" s="23" t="inlineStr">
        <is>
          <t>OK</t>
        </is>
      </c>
      <c r="C23" s="21" t="inlineStr">
        <is>
          <t>Test réussi, conforme au résultat attendu</t>
        </is>
      </c>
    </row>
    <row r="24" ht="15" customHeight="1" s="16">
      <c r="B24" s="24" t="inlineStr">
        <is>
          <t>KO</t>
        </is>
      </c>
      <c r="C24" s="21" t="inlineStr">
        <is>
          <t>Test en échec, bug bloquant ou majeur</t>
        </is>
      </c>
    </row>
    <row r="25" ht="15" customHeight="1" s="16">
      <c r="B25" s="25" t="inlineStr">
        <is>
          <t>Partiel</t>
        </is>
      </c>
      <c r="C25" s="21" t="inlineStr">
        <is>
          <t>Fonctionne avec réserve, anomalie mineure ou point à vérifier</t>
        </is>
      </c>
    </row>
    <row r="26" ht="15" customHeight="1" s="16">
      <c r="B26" s="26" t="inlineStr">
        <is>
          <t>Non testé</t>
        </is>
      </c>
      <c r="C26" s="21" t="inlineStr">
        <is>
          <t>Test pas encore exécuté</t>
        </is>
      </c>
    </row>
    <row r="28" ht="15" customHeight="1" s="16">
      <c r="B28" s="19" t="inlineStr">
        <is>
          <t>LÉGENDE PRIORITÉ</t>
        </is>
      </c>
    </row>
    <row r="29" ht="15" customHeight="1" s="16">
      <c r="B29" s="27" t="inlineStr">
        <is>
          <t>P1</t>
        </is>
      </c>
      <c r="C29" s="21" t="inlineStr">
        <is>
          <t>Bloquant — doit être corrigé avant mise en main terrain</t>
        </is>
      </c>
    </row>
    <row r="30" ht="15" customHeight="1" s="16">
      <c r="B30" s="27" t="inlineStr">
        <is>
          <t>P2</t>
        </is>
      </c>
      <c r="C30" s="21" t="inlineStr">
        <is>
          <t>Important — à corriger avant mise en production</t>
        </is>
      </c>
    </row>
    <row r="31" ht="15" customHeight="1" s="16">
      <c r="B31" s="27" t="inlineStr">
        <is>
          <t>P3</t>
        </is>
      </c>
      <c r="C31" s="21" t="inlineStr">
        <is>
          <t>Amélioration UX — non bloquant</t>
        </is>
      </c>
    </row>
    <row r="33" ht="15" customHeight="1" s="16">
      <c r="B33" s="19" t="inlineStr">
        <is>
          <t>SYNTHÈSE DES RÉSULTATS (mise à jour automatique)</t>
        </is>
      </c>
    </row>
    <row r="34" ht="23.85" customHeight="1" s="16">
      <c r="B34" s="22" t="inlineStr">
        <is>
          <t>Module</t>
        </is>
      </c>
      <c r="C34" s="22" t="inlineStr">
        <is>
          <t>OK</t>
        </is>
      </c>
      <c r="D34" s="22" t="inlineStr">
        <is>
          <t>KO</t>
        </is>
      </c>
      <c r="E34" s="22" t="inlineStr">
        <is>
          <t>Partiel</t>
        </is>
      </c>
      <c r="F34" s="22" t="inlineStr">
        <is>
          <t>Non testé</t>
        </is>
      </c>
      <c r="G34" s="22" t="inlineStr">
        <is>
          <t>Total</t>
        </is>
      </c>
    </row>
    <row r="35" ht="15" customHeight="1" s="16">
      <c r="B35" s="28" t="inlineStr">
        <is>
          <t>AUTH</t>
        </is>
      </c>
      <c r="C35" s="29">
        <f>COUNTIF(AUTH!$G$6:$G$200,"OK")</f>
        <v/>
      </c>
      <c r="D35" s="29">
        <f>COUNTIF(AUTH!$G$6:$G$200,"KO")</f>
        <v/>
      </c>
      <c r="E35" s="29">
        <f>COUNTIF(AUTH!$G$6:$G$200,"Partiel")</f>
        <v/>
      </c>
      <c r="F35" s="29">
        <f>COUNTIF(AUTH!$G$6:$G$200,"Non testé")</f>
        <v/>
      </c>
      <c r="G35" s="27">
        <f>SUM(C35:F35)</f>
        <v/>
      </c>
    </row>
    <row r="36" ht="15" customHeight="1" s="16">
      <c r="B36" s="28" t="inlineStr">
        <is>
          <t>LIVREUR</t>
        </is>
      </c>
      <c r="C36" s="29">
        <f>COUNTIF(LIVREUR!$G$6:$G$200,"OK")</f>
        <v/>
      </c>
      <c r="D36" s="29">
        <f>COUNTIF(LIVREUR!$G$6:$G$200,"KO")</f>
        <v/>
      </c>
      <c r="E36" s="29">
        <f>COUNTIF(LIVREUR!$G$6:$G$200,"Partiel")</f>
        <v/>
      </c>
      <c r="F36" s="29">
        <f>COUNTIF(LIVREUR!$G$6:$G$200,"Non testé")</f>
        <v/>
      </c>
      <c r="G36" s="27">
        <f>SUM(C36:F36)</f>
        <v/>
      </c>
    </row>
    <row r="37" ht="15" customHeight="1" s="16">
      <c r="B37" s="28" t="inlineStr">
        <is>
          <t>MAGASIN</t>
        </is>
      </c>
      <c r="C37" s="29">
        <f>COUNTIF(MAGASIN!$G$6:$G$200,"OK")</f>
        <v/>
      </c>
      <c r="D37" s="29">
        <f>COUNTIF(MAGASIN!$G$6:$G$200,"KO")</f>
        <v/>
      </c>
      <c r="E37" s="29">
        <f>COUNTIF(MAGASIN!$G$6:$G$200,"Partiel")</f>
        <v/>
      </c>
      <c r="F37" s="29">
        <f>COUNTIF(MAGASIN!$G$6:$G$200,"Non testé")</f>
        <v/>
      </c>
      <c r="G37" s="27">
        <f>SUM(C37:F37)</f>
        <v/>
      </c>
    </row>
    <row r="38" ht="15" customHeight="1" s="16">
      <c r="B38" s="28" t="inlineStr">
        <is>
          <t>ADV</t>
        </is>
      </c>
      <c r="C38" s="29">
        <f>COUNTIF(ADV!$G$6:$G$200,"OK")</f>
        <v/>
      </c>
      <c r="D38" s="29">
        <f>COUNTIF(ADV!$G$6:$G$200,"KO")</f>
        <v/>
      </c>
      <c r="E38" s="29">
        <f>COUNTIF(ADV!$G$6:$G$200,"Partiel")</f>
        <v/>
      </c>
      <c r="F38" s="29">
        <f>COUNTIF(ADV!$G$6:$G$200,"Non testé")</f>
        <v/>
      </c>
      <c r="G38" s="27">
        <f>SUM(C38:F38)</f>
        <v/>
      </c>
    </row>
    <row r="39" ht="15" customHeight="1" s="16">
      <c r="B39" s="28" t="inlineStr">
        <is>
          <t>ADMIN</t>
        </is>
      </c>
      <c r="C39" s="29">
        <f>COUNTIF(ADMIN!$G$6:$G$200,"OK")</f>
        <v/>
      </c>
      <c r="D39" s="29">
        <f>COUNTIF(ADMIN!$G$6:$G$200,"KO")</f>
        <v/>
      </c>
      <c r="E39" s="29">
        <f>COUNTIF(ADMIN!$G$6:$G$200,"Partiel")</f>
        <v/>
      </c>
      <c r="F39" s="29">
        <f>COUNTIF(ADMIN!$G$6:$G$200,"Non testé")</f>
        <v/>
      </c>
      <c r="G39" s="27">
        <f>SUM(C39:F39)</f>
        <v/>
      </c>
    </row>
    <row r="40" ht="15" customHeight="1" s="16">
      <c r="B40" s="28" t="inlineStr">
        <is>
          <t>PLANNING</t>
        </is>
      </c>
      <c r="C40" s="29">
        <f>COUNTIF(PLANNING!$G$6:$G$200,"OK")</f>
        <v/>
      </c>
      <c r="D40" s="29">
        <f>COUNTIF(PLANNING!$G$6:$G$200,"KO")</f>
        <v/>
      </c>
      <c r="E40" s="29">
        <f>COUNTIF(PLANNING!$G$6:$G$200,"Partiel")</f>
        <v/>
      </c>
      <c r="F40" s="29">
        <f>COUNTIF(PLANNING!$G$6:$G$200,"Non testé")</f>
        <v/>
      </c>
      <c r="G40" s="27">
        <f>SUM(C40:F40)</f>
        <v/>
      </c>
    </row>
    <row r="41" ht="15" customHeight="1" s="16">
      <c r="B41" s="28" t="inlineStr">
        <is>
          <t>Webhook Make</t>
        </is>
      </c>
      <c r="C41" s="29">
        <f>COUNTIF('Webhook Make'!$G$6:$G$200,"OK")</f>
        <v/>
      </c>
      <c r="D41" s="29">
        <f>COUNTIF('Webhook Make'!$G$6:$G$200,"KO")</f>
        <v/>
      </c>
      <c r="E41" s="29">
        <f>COUNTIF('Webhook Make'!$G$6:$G$200,"Partiel")</f>
        <v/>
      </c>
      <c r="F41" s="29">
        <f>COUNTIF('Webhook Make'!$G$6:$G$200,"Non testé")</f>
        <v/>
      </c>
      <c r="G41" s="27">
        <f>SUM(C41:F41)</f>
        <v/>
      </c>
    </row>
    <row r="42" ht="15" customHeight="1" s="16">
      <c r="B42" s="28" t="inlineStr">
        <is>
          <t>Non-régression</t>
        </is>
      </c>
      <c r="C42" s="29">
        <f>COUNTIF('Non-régression'!$G$6:$G$200,"OK")</f>
        <v/>
      </c>
      <c r="D42" s="29">
        <f>COUNTIF('Non-régression'!$G$6:$G$200,"KO")</f>
        <v/>
      </c>
      <c r="E42" s="29">
        <f>COUNTIF('Non-régression'!$G$6:$G$200,"Partiel")</f>
        <v/>
      </c>
      <c r="F42" s="29">
        <f>COUNTIF('Non-régression'!$G$6:$G$200,"Non testé")</f>
        <v/>
      </c>
      <c r="G42" s="27">
        <f>SUM(C42:F42)</f>
        <v/>
      </c>
    </row>
    <row r="43">
      <c r="B43" s="30" t="inlineStr">
        <is>
          <t>TOTAL</t>
        </is>
      </c>
      <c r="C43" s="27">
        <f>SUM(C35:C42)</f>
        <v/>
      </c>
      <c r="D43" s="27">
        <f>SUM(D35:D42)</f>
        <v/>
      </c>
      <c r="E43" s="27">
        <f>SUM(E35:E42)</f>
        <v/>
      </c>
      <c r="F43" s="27">
        <f>SUM(F35:F42)</f>
        <v/>
      </c>
      <c r="G43" s="27">
        <f>SUM(G35:G42)</f>
        <v/>
      </c>
    </row>
    <row r="45">
      <c r="B45" s="19" t="inlineStr">
        <is>
          <t>PÉRIMÈTRE DE LA VERSION V2</t>
        </is>
      </c>
    </row>
    <row r="46">
      <c r="B46" s="20" t="inlineStr">
        <is>
          <t>Évolutions couvertes</t>
        </is>
      </c>
      <c r="C46" s="21" t="inlineStr">
        <is>
          <t>Référence affaire dans le planning · mode écran · fermeture des modales ADV · vue semaine et brouillons magasin · itinéraire turn-by-turn livreur · saisie des colis livrés (commit b0b7836)</t>
        </is>
      </c>
    </row>
    <row r="47">
      <c r="B47" s="20" t="inlineStr">
        <is>
          <t>Prérequis base de données</t>
        </is>
      </c>
      <c r="C47" s="21" t="inlineStr">
        <is>
          <t>ALTER TABLE stops ADD COLUMN IF NOT EXISTS colis_livres INTEGER;  — sans cette migration, le test L-17 échoue</t>
        </is>
      </c>
    </row>
    <row r="48">
      <c r="B48" s="20" t="inlineStr">
        <is>
          <t>Correctifs apportés au classeur</t>
        </is>
      </c>
      <c r="C48" s="21" t="inlineStr">
        <is>
          <t>Les listes déroulantes Statut/Priorité étaient décalées d'une colonne et les COUNTIF de synthèse comptaient la colonne Priorité au lieu de Statut.</t>
        </is>
      </c>
    </row>
  </sheetData>
  <mergeCells count="2">
    <mergeCell ref="B3:D3"/>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K12"/>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AUTH — Authentification</t>
        </is>
      </c>
    </row>
    <row r="3" ht="15" customHeight="1" s="16">
      <c r="B3" s="18" t="inlineStr">
        <is>
          <t>Connexion, déconnexion, gestion des sessions et isolation des rôles</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AUTH-01</t>
        </is>
      </c>
      <c r="C6" s="21" t="inlineStr">
        <is>
          <t>Connexion valide — 4 rôles</t>
        </is>
      </c>
      <c r="D6" s="21" t="inlineStr">
        <is>
          <t>Se connecter successivement avec les comptes ADMIN, ADV, LIVREUR et MAGASIN.</t>
        </is>
      </c>
      <c r="E6" s="21" t="inlineStr">
        <is>
          <t>Chaque rôle est authentifié et redirigé vers sa vue dédiée (/admin, /adv, /livreur, /magasin).</t>
        </is>
      </c>
      <c r="F6" s="21" t="n"/>
      <c r="G6" s="29" t="n"/>
      <c r="H6" s="29" t="inlineStr">
        <is>
          <t>P1</t>
        </is>
      </c>
      <c r="I6" s="21" t="n"/>
      <c r="J6" s="21" t="n"/>
      <c r="K6" s="21" t="n"/>
    </row>
    <row r="7" ht="45.75" customHeight="1" s="16">
      <c r="B7" s="21" t="inlineStr">
        <is>
          <t>AUTH-02</t>
        </is>
      </c>
      <c r="C7" s="21" t="inlineStr">
        <is>
          <t>Connexion invalide</t>
        </is>
      </c>
      <c r="D7" s="21" t="inlineStr">
        <is>
          <t>Saisir un email ou un mot de passe incorrect. Tenter de soumettre le formulaire avec des champs vides.</t>
        </is>
      </c>
      <c r="E7" s="21" t="inlineStr">
        <is>
          <t>Un message « Identifiants incorrects » s'affiche. Les champs vides bloquent la soumission côté client.</t>
        </is>
      </c>
      <c r="F7" s="21" t="n"/>
      <c r="G7" s="29" t="n"/>
      <c r="H7" s="29" t="inlineStr">
        <is>
          <t>P1</t>
        </is>
      </c>
      <c r="I7" s="21" t="n"/>
      <c r="J7" s="21" t="n"/>
      <c r="K7" s="21" t="n"/>
    </row>
    <row r="8" ht="45.75" customHeight="1" s="16">
      <c r="B8" s="21" t="inlineStr">
        <is>
          <t>AUTH-03</t>
        </is>
      </c>
      <c r="C8" s="21" t="inlineStr">
        <is>
          <t>Déconnexion — toutes vues</t>
        </is>
      </c>
      <c r="D8" s="21" t="inlineStr">
        <is>
          <t>Depuis chaque vue (LIVREUR, MAGASIN, ADV, ADMIN), chercher et utiliser le bouton de déconnexion.</t>
        </is>
      </c>
      <c r="E8" s="21" t="inlineStr">
        <is>
          <t>Un bouton de déconnexion est visible et accessible dans les 4 vues. La session est détruite après clic.</t>
        </is>
      </c>
      <c r="F8" s="21" t="n"/>
      <c r="G8" s="29" t="n"/>
      <c r="H8" s="29" t="inlineStr">
        <is>
          <t>P1</t>
        </is>
      </c>
      <c r="I8" s="21" t="n"/>
      <c r="J8" s="21" t="n"/>
      <c r="K8" s="21" t="n"/>
    </row>
    <row r="9" ht="45.75" customHeight="1" s="16">
      <c r="B9" s="21" t="inlineStr">
        <is>
          <t>AUTH-04</t>
        </is>
      </c>
      <c r="C9" s="21" t="inlineStr">
        <is>
          <t>Isolation des rôles</t>
        </is>
      </c>
      <c r="D9" s="21" t="inlineStr">
        <is>
          <t>Connecté en LIVREUR, tenter d'accéder à /adv et /admin via l'URL. Répéter pour les autres rôles.</t>
        </is>
      </c>
      <c r="E9" s="21" t="inlineStr">
        <is>
          <t>L'accès est refusé (redirection) pour toute vue non autorisée par le rôle.</t>
        </is>
      </c>
      <c r="F9" s="21" t="n"/>
      <c r="G9" s="29" t="n"/>
      <c r="H9" s="29" t="inlineStr">
        <is>
          <t>P1</t>
        </is>
      </c>
      <c r="I9" s="21" t="n"/>
      <c r="J9" s="21" t="n"/>
      <c r="K9" s="21" t="n"/>
    </row>
    <row r="10" ht="45.75" customHeight="1" s="16">
      <c r="B10" s="21" t="inlineStr">
        <is>
          <t>AUTH-05</t>
        </is>
      </c>
      <c r="C10" s="21" t="inlineStr">
        <is>
          <t>Persistance de session</t>
        </is>
      </c>
      <c r="D10" s="21" t="inlineStr">
        <is>
          <t>Se connecter, puis recharger la page (F5) ou fermer/rouvrir l'onglet.</t>
        </is>
      </c>
      <c r="E10" s="21" t="inlineStr">
        <is>
          <t>L'utilisateur reste connecté et sur sa vue, sans nouvelle demande d'identifiants.</t>
        </is>
      </c>
      <c r="F10" s="21" t="n"/>
      <c r="G10" s="29" t="n"/>
      <c r="H10" s="29" t="inlineStr">
        <is>
          <t>P2</t>
        </is>
      </c>
      <c r="I10" s="21" t="n"/>
      <c r="J10" s="21" t="n"/>
      <c r="K10" s="21" t="n"/>
    </row>
    <row r="11" ht="45.75" customHeight="1" s="16">
      <c r="B11" s="21" t="inlineStr">
        <is>
          <t>AUTH-06</t>
        </is>
      </c>
      <c r="C11" s="21" t="inlineStr">
        <is>
          <t>Expiration de session (TTL 8h)</t>
        </is>
      </c>
      <c r="D11" s="21" t="inlineStr">
        <is>
          <t>Attendre l'expiration de la session (8h) ou simuler un cookie expiré, puis effectuer une action.</t>
        </is>
      </c>
      <c r="E11" s="21" t="inlineStr">
        <is>
          <t>L'utilisateur est redirigé vers la page de connexion.</t>
        </is>
      </c>
      <c r="F11" s="21" t="n"/>
      <c r="G11" s="29" t="n"/>
      <c r="H11" s="29" t="inlineStr">
        <is>
          <t>P3</t>
        </is>
      </c>
      <c r="I11" s="21" t="n"/>
      <c r="J11" s="21" t="n"/>
      <c r="K11" s="21" t="n"/>
    </row>
    <row r="12" ht="45.75" customHeight="1" s="16">
      <c r="B12" s="21" t="inlineStr">
        <is>
          <t>AUTH-07</t>
        </is>
      </c>
      <c r="C12" s="21" t="inlineStr">
        <is>
          <t>Effacement du message d'erreur</t>
        </is>
      </c>
      <c r="D12" s="21" t="inlineStr">
        <is>
          <t>Après un échec de connexion, ressaisir des identifiants dans les champs.</t>
        </is>
      </c>
      <c r="E12" s="21" t="inlineStr">
        <is>
          <t>Le message « Identifiants incorrects » disparaît dès la modification des champs.</t>
        </is>
      </c>
      <c r="F12" s="21" t="n"/>
      <c r="G12" s="29" t="n"/>
      <c r="H12" s="29" t="inlineStr">
        <is>
          <t>P3</t>
        </is>
      </c>
      <c r="I12" s="21" t="n"/>
      <c r="J12" s="21" t="n"/>
      <c r="K12" s="21" t="n"/>
    </row>
  </sheetData>
  <mergeCells count="2">
    <mergeCell ref="B3:K3"/>
    <mergeCell ref="B2:K2"/>
  </mergeCells>
  <dataValidations count="2">
    <dataValidation sqref="G6:G12" showDropDown="0" showInputMessage="0" showErrorMessage="0" allowBlank="1" type="list">
      <formula1>"OK,KO,Partiel,Non testé"</formula1>
    </dataValidation>
    <dataValidation sqref="H6:H12"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K2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LIVREUR — Vue mobile terrain</t>
        </is>
      </c>
    </row>
    <row r="3" ht="15" customHeight="1" s="16">
      <c r="B3" s="18" t="inlineStr">
        <is>
          <t>Tournée du jour, carte, statuts et actions livreur</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L-01</t>
        </is>
      </c>
      <c r="C6" s="21" t="inlineStr">
        <is>
          <t>Liste des stops du jour</t>
        </is>
      </c>
      <c r="D6" s="21" t="inlineStr">
        <is>
          <t>Se connecter en LIVREUR et consulter la liste des stops.</t>
        </is>
      </c>
      <c r="E6" s="21" t="inlineStr">
        <is>
          <t>Société, adresse, téléphone (lien tel:), numéro d'affaire, badges PVC/ALU/MIXTE, lien livraison groupée, nombre de colis, emplacement et commentaire magasin sont affichés.</t>
        </is>
      </c>
      <c r="F6" s="21" t="n"/>
      <c r="G6" s="29" t="n"/>
      <c r="H6" s="29" t="inlineStr">
        <is>
          <t>P1</t>
        </is>
      </c>
      <c r="I6" s="21" t="n"/>
      <c r="J6" s="21" t="n"/>
      <c r="K6" s="21" t="n"/>
    </row>
    <row r="7" ht="45.75" customHeight="1" s="16">
      <c r="B7" s="21" t="inlineStr">
        <is>
          <t>L-02</t>
        </is>
      </c>
      <c r="C7" s="21" t="inlineStr">
        <is>
          <t>Stop non préparé par le magasin</t>
        </is>
      </c>
      <c r="D7" s="21" t="inlineStr">
        <is>
          <t>Consulter un stop dont la préparation magasin n'est pas validée.</t>
        </is>
      </c>
      <c r="E7" s="21" t="inlineStr">
        <is>
          <t>Le stop affiche la mention « En attente de préparation magasin ».</t>
        </is>
      </c>
      <c r="F7" s="21" t="n"/>
      <c r="G7" s="29" t="n"/>
      <c r="H7" s="29" t="inlineStr">
        <is>
          <t>P2</t>
        </is>
      </c>
      <c r="I7" s="21" t="n"/>
      <c r="J7" s="21" t="n"/>
      <c r="K7" s="21" t="n"/>
    </row>
    <row r="8" ht="45.75" customHeight="1" s="16">
      <c r="B8" s="21" t="inlineStr">
        <is>
          <t>L-03</t>
        </is>
      </c>
      <c r="C8" s="21" t="inlineStr">
        <is>
          <t>Carte et marqueurs</t>
        </is>
      </c>
      <c r="D8" s="21" t="inlineStr">
        <is>
          <t>Observer la carte en haut de la vue tournée.</t>
        </is>
      </c>
      <c r="E8" s="21" t="inlineStr">
        <is>
          <t>La carte se charge correctement et affiche un marqueur coloré par stop, cliquable.</t>
        </is>
      </c>
      <c r="F8" s="21" t="n"/>
      <c r="G8" s="29" t="n"/>
      <c r="H8" s="29" t="inlineStr">
        <is>
          <t>P1</t>
        </is>
      </c>
      <c r="I8" s="21" t="n"/>
      <c r="J8" s="21" t="n"/>
      <c r="K8" s="21" t="n"/>
    </row>
    <row r="9" ht="45.75" customHeight="1" s="16">
      <c r="B9" s="21" t="inlineStr">
        <is>
          <t>L-04</t>
        </is>
      </c>
      <c r="C9" s="21" t="inlineStr">
        <is>
          <t>Fiche détail d'un stop</t>
        </is>
      </c>
      <c r="D9" s="21" t="inlineStr">
        <is>
          <t>Ouvrir un stop pour afficher sa fiche détail.</t>
        </is>
      </c>
      <c r="E9" s="21" t="inlineStr">
        <is>
          <t>Toutes les informations du stop sont visibles, ainsi que la case à cocher de prise en charge des colis.</t>
        </is>
      </c>
      <c r="F9" s="21" t="n"/>
      <c r="G9" s="29" t="n"/>
      <c r="H9" s="29" t="inlineStr">
        <is>
          <t>P1</t>
        </is>
      </c>
      <c r="I9" s="21" t="n"/>
      <c r="J9" s="21" t="n"/>
      <c r="K9" s="21" t="n"/>
    </row>
    <row r="10" ht="45.75" customHeight="1" s="16">
      <c r="B10" s="21" t="inlineStr">
        <is>
          <t>L-05</t>
        </is>
      </c>
      <c r="C10" s="21" t="inlineStr">
        <is>
          <t>Galerie photos de colissage</t>
        </is>
      </c>
      <c r="D10" s="21" t="inlineStr">
        <is>
          <t>Dans la fiche détail, consulter les photos ajoutées par le magasin.</t>
        </is>
      </c>
      <c r="E10" s="21" t="inlineStr">
        <is>
          <t>Les photos sont visibles et accessibles (scroll complet), sans être masquées par un bouton d'action.</t>
        </is>
      </c>
      <c r="F10" s="21" t="n"/>
      <c r="G10" s="29" t="n"/>
      <c r="H10" s="29" t="inlineStr">
        <is>
          <t>P2</t>
        </is>
      </c>
      <c r="I10" s="21" t="n"/>
      <c r="J10" s="21" t="n"/>
      <c r="K10" s="21" t="n"/>
    </row>
    <row r="11" ht="45.75" customHeight="1" s="16">
      <c r="B11" s="21" t="inlineStr">
        <is>
          <t>L-06</t>
        </is>
      </c>
      <c r="C11" s="21" t="inlineStr">
        <is>
          <t>Changement de statut — cycle complet</t>
        </is>
      </c>
      <c r="D11" s="21" t="inlineStr">
        <is>
          <t>Depuis un stop « À livrer », cocher la prise en charge des colis, passer en « En cours », puis en « Livré ».</t>
        </is>
      </c>
      <c r="E11" s="21" t="inlineStr">
        <is>
          <t>Le démarrage est bloqué sans la case cochée. Chaque changement de statut est confirmé et les compteurs sont mis à jour.</t>
        </is>
      </c>
      <c r="F11" s="21" t="n"/>
      <c r="G11" s="29" t="n"/>
      <c r="H11" s="29" t="inlineStr">
        <is>
          <t>P1</t>
        </is>
      </c>
      <c r="I11" s="21" t="n"/>
      <c r="J11" s="21" t="n"/>
      <c r="K11" s="21" t="n"/>
    </row>
    <row r="12" ht="45.75" customHeight="1" s="16">
      <c r="B12" s="21" t="inlineStr">
        <is>
          <t>L-07</t>
        </is>
      </c>
      <c r="C12" s="21" t="inlineStr">
        <is>
          <t>Retour en arrière sur un stop « Livré »</t>
        </is>
      </c>
      <c r="D12" s="21" t="inlineStr">
        <is>
          <t>Depuis un stop marqué « Livré », chercher une action pour annuler/revenir en arrière.</t>
        </is>
      </c>
      <c r="E12" s="21" t="inlineStr">
        <is>
          <t>Une action « Annuler la livraison » permet de repasser le stop en statut précédent.</t>
        </is>
      </c>
      <c r="F12" s="21" t="n"/>
      <c r="G12" s="29" t="n"/>
      <c r="H12" s="29" t="inlineStr">
        <is>
          <t>P2</t>
        </is>
      </c>
      <c r="I12" s="21" t="n"/>
      <c r="J12" s="21" t="n"/>
      <c r="K12" s="21" t="n"/>
    </row>
    <row r="13" ht="45.75" customHeight="1" s="16">
      <c r="B13" s="21" t="inlineStr">
        <is>
          <t>L-08</t>
        </is>
      </c>
      <c r="C13" s="21" t="inlineStr">
        <is>
          <t>Optimisation de l'itinéraire</t>
        </is>
      </c>
      <c r="D13" s="21" t="inlineStr">
        <is>
          <t>Cliquer sur « Optimiser l'itinéraire ».</t>
        </is>
      </c>
      <c r="E13" s="21" t="inlineStr">
        <is>
          <t>L'ordre des stops est recalculé et affiché, avec un indicateur de chargement pendant le traitement.</t>
        </is>
      </c>
      <c r="F13" s="21" t="n"/>
      <c r="G13" s="29" t="n"/>
      <c r="H13" s="29" t="inlineStr">
        <is>
          <t>P3</t>
        </is>
      </c>
      <c r="I13" s="21" t="n"/>
      <c r="J13" s="21" t="n"/>
      <c r="K13" s="21" t="n"/>
    </row>
    <row r="14" ht="45.75" customHeight="1" s="16">
      <c r="B14" s="21" t="inlineStr">
        <is>
          <t>L-09</t>
        </is>
      </c>
      <c r="C14" s="21" t="inlineStr">
        <is>
          <t>Impression de la tournée</t>
        </is>
      </c>
      <c r="D14" s="21" t="inlineStr">
        <is>
          <t>Cliquer sur « Imprimer ».</t>
        </is>
      </c>
      <c r="E14" s="21" t="inlineStr">
        <is>
          <t>La mise en page imprimée présente la tournée du jour de façon lisible et complète.</t>
        </is>
      </c>
      <c r="F14" s="21" t="n"/>
      <c r="G14" s="29" t="n"/>
      <c r="H14" s="29" t="inlineStr">
        <is>
          <t>P3</t>
        </is>
      </c>
      <c r="I14" s="21" t="n"/>
      <c r="J14" s="21" t="n"/>
      <c r="K14" s="21" t="n"/>
    </row>
    <row r="15" ht="45.75" customHeight="1" s="16">
      <c r="B15" s="21" t="inlineStr">
        <is>
          <t>L-10</t>
        </is>
      </c>
      <c r="C15" s="21" t="inlineStr">
        <is>
          <t>Livraison groupée</t>
        </is>
      </c>
      <c r="D15" s="21" t="inlineStr">
        <is>
          <t>Ouvrir un stop marqué comme faisant partie d'une livraison groupée (lien 🔗).</t>
        </is>
      </c>
      <c r="E15" s="21" t="inlineStr">
        <is>
          <t>Les stops liés sont identifiables et accessibles depuis la fiche.</t>
        </is>
      </c>
      <c r="F15" s="21" t="n"/>
      <c r="G15" s="29" t="n"/>
      <c r="H15" s="29" t="inlineStr">
        <is>
          <t>P3</t>
        </is>
      </c>
      <c r="I15" s="21" t="n"/>
      <c r="J15" s="21" t="n"/>
      <c r="K15" s="21" t="n"/>
    </row>
    <row r="16" ht="45.75" customHeight="1" s="16">
      <c r="B16" s="21" t="inlineStr">
        <is>
          <t>L-11</t>
        </is>
      </c>
      <c r="C16" s="21" t="inlineStr">
        <is>
          <t>Fermeture de la fiche détail</t>
        </is>
      </c>
      <c r="D16" s="21" t="inlineStr">
        <is>
          <t>Ouvrir la fiche détail d'un stop puis tenter de la fermer (touche Échap, glissement du bandeau, bouton fermer).</t>
        </is>
      </c>
      <c r="E16" s="21" t="inlineStr">
        <is>
          <t>La fiche se ferme par au moins deux méthodes intuitives (glissement + bouton visible), pas seulement en touchant l'arrière-plan.</t>
        </is>
      </c>
      <c r="F16" s="21" t="n"/>
      <c r="G16" s="29" t="n"/>
      <c r="H16" s="29" t="inlineStr">
        <is>
          <t>P3</t>
        </is>
      </c>
      <c r="I16" s="21" t="n"/>
      <c r="J16" s="21" t="n"/>
      <c r="K16" s="21" t="n"/>
    </row>
    <row r="17" ht="45.75" customHeight="1" s="16">
      <c r="B17" s="21" t="inlineStr">
        <is>
          <t>L-12</t>
        </is>
      </c>
      <c r="C17" s="21" t="inlineStr">
        <is>
          <t>Boutons « Optimiser » et « Imprimer »</t>
        </is>
      </c>
      <c r="D17" s="21" t="inlineStr">
        <is>
          <t>Afficher la vue LIVREUR sur mobile puis sur desktop, et observer les deux boutons en bas de l'écran.</t>
        </is>
      </c>
      <c r="E17" s="21" t="inlineStr">
        <is>
          <t>Les deux boutons sont côte à côte (ou l'un sous l'autre si l'écran est étroit), entièrement cliquables, sans aucun chevauchement ni superposition.</t>
        </is>
      </c>
      <c r="F17" s="21" t="n"/>
      <c r="G17" s="29" t="n"/>
      <c r="H17" s="29" t="inlineStr">
        <is>
          <t>P1</t>
        </is>
      </c>
      <c r="I17" s="21" t="n"/>
      <c r="J17" s="21" t="n"/>
      <c r="K17" s="21" t="n"/>
    </row>
    <row r="18" ht="45.75" customHeight="1" s="16">
      <c r="B18" s="21" t="inlineStr">
        <is>
          <t>L-13</t>
        </is>
      </c>
      <c r="C18" s="21" t="inlineStr">
        <is>
          <t>Onglet « Itinéraire » — feuille de route</t>
        </is>
      </c>
      <c r="D18" s="21" t="inlineStr">
        <is>
          <t>Ouvrir l'onglet « Itinéraire », refuser la géolocalisation, puis déplier une étape.</t>
        </is>
      </c>
      <c r="E18" s="21" t="inlineStr">
        <is>
          <t>La feuille de route s'affiche en français avec, par étape, la distance, la durée et les instructions détaillées (« Tourner à gauche… », « Continuer sur X km »). Distance et durée totales sont indiquées en haut. Le départ se fait depuis le premier stop.</t>
        </is>
      </c>
      <c r="F18" s="21" t="n"/>
      <c r="G18" s="29" t="n"/>
      <c r="H18" s="29" t="inlineStr">
        <is>
          <t>P1</t>
        </is>
      </c>
      <c r="I18" s="21" t="n"/>
      <c r="J18" s="21" t="n"/>
      <c r="K18" s="21" t="n"/>
    </row>
    <row r="19" ht="45.75" customHeight="1" s="16">
      <c r="B19" s="21" t="inlineStr">
        <is>
          <t>L-14</t>
        </is>
      </c>
      <c r="C19" s="21" t="inlineStr">
        <is>
          <t>Itinéraire depuis la position du livreur</t>
        </is>
      </c>
      <c r="D19" s="21" t="inlineStr">
        <is>
          <t>Ouvrir l'onglet « Itinéraire » et accepter la demande de géolocalisation.</t>
        </is>
      </c>
      <c r="E19" s="21" t="inlineStr">
        <is>
          <t>L'itinéraire démarre de la position actuelle du livreur (mention « Départ : Position actuelle ») et non du premier stop.</t>
        </is>
      </c>
      <c r="F19" s="21" t="n"/>
      <c r="G19" s="29" t="n"/>
      <c r="H19" s="29" t="inlineStr">
        <is>
          <t>P2</t>
        </is>
      </c>
      <c r="I19" s="21" t="n"/>
      <c r="J19" s="21" t="n"/>
      <c r="K19" s="21" t="n"/>
    </row>
    <row r="20" ht="45.75" customHeight="1" s="16">
      <c r="B20" s="21" t="inlineStr">
        <is>
          <t>L-15</t>
        </is>
      </c>
      <c r="C20" s="21" t="inlineStr">
        <is>
          <t>Itinéraire adapté au véhicule PL / VL</t>
        </is>
      </c>
      <c r="D20" s="21" t="inlineStr">
        <is>
          <t>Consulter l'itinéraire d'une tournée comportant au moins un stop PL, puis celui d'une tournée uniquement VL.</t>
        </is>
      </c>
      <c r="E20" s="21" t="inlineStr">
        <is>
          <t>Le véhicule affiché correspond (🚛 Poids lourd / 🚗 Véhicule léger) et l'itinéraire PL tient compte des restrictions de gabarit et de tonnage.</t>
        </is>
      </c>
      <c r="F20" s="21" t="n"/>
      <c r="G20" s="29" t="n"/>
      <c r="H20" s="29" t="inlineStr">
        <is>
          <t>P2</t>
        </is>
      </c>
      <c r="I20" s="21" t="n"/>
      <c r="J20" s="21" t="n"/>
      <c r="K20" s="21" t="n"/>
    </row>
    <row r="21" ht="45.75" customHeight="1" s="16">
      <c r="B21" s="21" t="inlineStr">
        <is>
          <t>L-16</t>
        </is>
      </c>
      <c r="C21" s="21" t="inlineStr">
        <is>
          <t>Recalcul après optimisation ou livraison</t>
        </is>
      </c>
      <c r="D21" s="21" t="inlineStr">
        <is>
          <t>Depuis l'onglet Itinéraire, revenir à la liste, cliquer sur « Optimiser l'itinéraire », puis rouvrir l'onglet Itinéraire. Répéter après avoir marqué un stop « Livré ».</t>
        </is>
      </c>
      <c r="E21" s="21" t="inlineStr">
        <is>
          <t>La feuille de route est recalculée et reflète le nouvel ordre des stops ; les stops livrés n'y figurent plus.</t>
        </is>
      </c>
      <c r="F21" s="21" t="n"/>
      <c r="G21" s="29" t="n"/>
      <c r="H21" s="29" t="inlineStr">
        <is>
          <t>P2</t>
        </is>
      </c>
      <c r="I21" s="21" t="n"/>
      <c r="J21" s="21" t="n"/>
      <c r="K21" s="21" t="n"/>
    </row>
    <row r="22" ht="45.75" customHeight="1" s="16">
      <c r="B22" s="21" t="inlineStr">
        <is>
          <t>L-17</t>
        </is>
      </c>
      <c r="C22" s="21" t="inlineStr">
        <is>
          <t>Rappel du colissage magasin et saisie des colis livrés</t>
        </is>
      </c>
      <c r="D22" s="21" t="inlineStr">
        <is>
          <t>Ouvrir un stop préparé par le magasin, le passer en « En cours », observer le bloc « J'ai livré ___ colis ». Répéter sur un stop dont le magasin n'a rien saisi, puis sur un stop où seul l'emplacement est renseigné.</t>
        </is>
      </c>
      <c r="E22" s="21" t="inlineStr">
        <is>
          <t>Le bloc rappelle toujours ce que le magasin a annoncé : « Annoncé par le magasin : 4 colis à livrer · Zone B » quand l'info existe, « ⚠ Le magasin n'a pas renseigné le nombre de colis pour ce stop » sinon, et « Quai 3 — nombre de colis non renseigné » si seul l'emplacement est saisi. L'information reste visible après le passage en « Livré ».</t>
        </is>
      </c>
      <c r="F22" s="21" t="n"/>
      <c r="G22" s="29" t="n"/>
      <c r="H22" s="29" t="inlineStr">
        <is>
          <t>P1</t>
        </is>
      </c>
      <c r="I22" s="21" t="n"/>
      <c r="J22" s="21" t="n"/>
      <c r="K22" s="21" t="n"/>
    </row>
    <row r="23" ht="45.75" customHeight="1" s="16">
      <c r="B23" s="21" t="inlineStr">
        <is>
          <t>L-18</t>
        </is>
      </c>
      <c r="C23" s="21" t="inlineStr">
        <is>
          <t>La saisie des colis valide la livraison</t>
        </is>
      </c>
      <c r="D23" s="21" t="inlineStr">
        <is>
          <t>Sur un stop « En cours », laisser le champ vide et tenter de cliquer sur « Marquer comme livré ». Saisir ensuite un nombre, puis revider le champ.</t>
        </is>
      </c>
      <c r="E23" s="21" t="inlineStr">
        <is>
          <t>Le bouton « Marquer comme livré » reste désactivé tant que le champ est vide, avec la mention « Renseignez ce nombre pour pouvoir valider la livraison ». Il s'active dès qu'un nombre est saisi (0 compris) et se redésactive si le champ est vidé.</t>
        </is>
      </c>
      <c r="F23" s="21" t="n"/>
      <c r="G23" s="29" t="n"/>
      <c r="H23" s="29" t="inlineStr">
        <is>
          <t>P1</t>
        </is>
      </c>
      <c r="I23" s="21" t="n"/>
      <c r="J23" s="21" t="n"/>
      <c r="K23" s="21" t="n"/>
    </row>
    <row r="24" ht="45.75" customHeight="1" s="16">
      <c r="B24" s="21" t="inlineStr">
        <is>
          <t>L-19</t>
        </is>
      </c>
      <c r="C24" s="21" t="inlineStr">
        <is>
          <t>Alerte d'écart sur les colis livrés</t>
        </is>
      </c>
      <c r="D24" s="21" t="inlineStr">
        <is>
          <t>Sur un stop annonçant 4 colis, saisir 3 dans la phrase « J'ai livré ___ colis », puis saisir 5.</t>
        </is>
      </c>
      <c r="E24" s="21" t="inlineStr">
        <is>
          <t>Un avertissement s'affiche immédiatement dans les deux cas (« 1 colis non livré sur 4 », puis « 1 colis de plus que prévu »). L'écart n'empêche pas la validation et reste visible sur la carte du stop.</t>
        </is>
      </c>
      <c r="F24" s="21" t="n"/>
      <c r="G24" s="29" t="n"/>
      <c r="H24" s="29" t="inlineStr">
        <is>
          <t>P2</t>
        </is>
      </c>
      <c r="I24" s="21" t="n"/>
      <c r="J24" s="21" t="n"/>
      <c r="K24" s="21" t="n"/>
    </row>
    <row r="25" ht="45.75" customHeight="1" s="16">
      <c r="B25" s="21" t="inlineStr">
        <is>
          <t>L-20</t>
        </is>
      </c>
      <c r="C25" s="21" t="inlineStr">
        <is>
          <t>Échec d'enregistrement des colis livrés</t>
        </is>
      </c>
      <c r="D25" s="21" t="inlineStr">
        <is>
          <t>Couper le réseau, saisir un nombre de colis puis cliquer sur « Marquer comme livré ».</t>
        </is>
      </c>
      <c r="E25" s="21" t="inlineStr">
        <is>
          <t>Une confirmation explicite prévient que le nombre n'a pas pu être enregistré et laisse le choix de marquer ou non le stop comme livré. En cas de refus, le stop conserve son statut « En cours ».</t>
        </is>
      </c>
      <c r="F25" s="21" t="n"/>
      <c r="G25" s="29" t="n"/>
      <c r="H25" s="29" t="inlineStr">
        <is>
          <t>P2</t>
        </is>
      </c>
      <c r="I25" s="21" t="n"/>
      <c r="J25" s="21" t="n"/>
      <c r="K25" s="21" t="n"/>
    </row>
  </sheetData>
  <mergeCells count="2">
    <mergeCell ref="B3:K3"/>
    <mergeCell ref="B2:K2"/>
  </mergeCells>
  <dataValidations count="2">
    <dataValidation sqref="G6:G25" showDropDown="0" showInputMessage="0" showErrorMessage="0" allowBlank="1" type="list">
      <formula1>"OK,KO,Partiel,Non testé"</formula1>
    </dataValidation>
    <dataValidation sqref="H6:H25"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K17"/>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MAGASIN — Préparation des livraisons</t>
        </is>
      </c>
    </row>
    <row r="3" ht="15" customHeight="1" s="16">
      <c r="B3" s="18" t="inlineStr">
        <is>
          <t>Validation des stops, saisie colis et upload photos</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M-01</t>
        </is>
      </c>
      <c r="C6" s="21" t="inlineStr">
        <is>
          <t>Liste des stops magasin</t>
        </is>
      </c>
      <c r="D6" s="21" t="inlineStr">
        <is>
          <t>Se connecter en MAGASIN et consulter les onglets « Aujourd'hui » et « Demain ».</t>
        </is>
      </c>
      <c r="E6" s="21" t="inlineStr">
        <is>
          <t>Les compteurs TOTAL / PRÊTS / À PRÉPARER sont exacts et la liste complète des stops s'affiche.</t>
        </is>
      </c>
      <c r="F6" s="21" t="n"/>
      <c r="G6" s="29" t="n"/>
      <c r="H6" s="29" t="inlineStr">
        <is>
          <t>P1</t>
        </is>
      </c>
      <c r="I6" s="21" t="n"/>
      <c r="J6" s="21" t="n"/>
      <c r="K6" s="21" t="n"/>
    </row>
    <row r="7" ht="45.75" customHeight="1" s="16">
      <c r="B7" s="21" t="inlineStr">
        <is>
          <t>M-02</t>
        </is>
      </c>
      <c r="C7" s="21" t="inlineStr">
        <is>
          <t>Validation d'un stop + saisie colis</t>
        </is>
      </c>
      <c r="D7" s="21" t="inlineStr">
        <is>
          <t>Saisir le nombre de colis, l'emplacement et un commentaire, puis valider le stop.</t>
        </is>
      </c>
      <c r="E7" s="21" t="inlineStr">
        <is>
          <t>Les données sont enregistrées, le statut passe à « Prêt » et les compteurs sont mis à jour (toast de confirmation).</t>
        </is>
      </c>
      <c r="F7" s="21" t="n"/>
      <c r="G7" s="29" t="n"/>
      <c r="H7" s="29" t="inlineStr">
        <is>
          <t>P1</t>
        </is>
      </c>
      <c r="I7" s="21" t="n"/>
      <c r="J7" s="21" t="n"/>
      <c r="K7" s="21" t="n"/>
    </row>
    <row r="8" ht="45.75" customHeight="1" s="16">
      <c r="B8" s="21" t="inlineStr">
        <is>
          <t>M-03</t>
        </is>
      </c>
      <c r="C8" s="21" t="inlineStr">
        <is>
          <t>Upload de photo de colissage</t>
        </is>
      </c>
      <c r="D8" s="21" t="inlineStr">
        <is>
          <t>Ajouter une photo lors de la préparation d'un stop, vérifier l'aperçu, puis la supprimer.</t>
        </is>
      </c>
      <c r="E8" s="21" t="inlineStr">
        <is>
          <t>L'upload fonctionne, un aperçu s'affiche immédiatement, la suppression est possible et la photo est bien enregistrée à la validation.</t>
        </is>
      </c>
      <c r="F8" s="21" t="n"/>
      <c r="G8" s="29" t="n"/>
      <c r="H8" s="29" t="inlineStr">
        <is>
          <t>P1</t>
        </is>
      </c>
      <c r="I8" s="21" t="n"/>
      <c r="J8" s="21" t="n"/>
      <c r="K8" s="21" t="n"/>
    </row>
    <row r="9" ht="45.75" customHeight="1" s="16">
      <c r="B9" s="21" t="inlineStr">
        <is>
          <t>M-04</t>
        </is>
      </c>
      <c r="C9" s="21" t="inlineStr">
        <is>
          <t>Transmission des données au livreur</t>
        </is>
      </c>
      <c r="D9" s="21" t="inlineStr">
        <is>
          <t>Valider un stop côté MAGASIN (colis, emplacement, commentaire, photo), puis consulter le même stop côté LIVREUR.</t>
        </is>
      </c>
      <c r="E9" s="21" t="inlineStr">
        <is>
          <t>Toutes les informations saisies côté magasin apparaissent correctement dans la fiche livreur.</t>
        </is>
      </c>
      <c r="F9" s="21" t="n"/>
      <c r="G9" s="29" t="n"/>
      <c r="H9" s="29" t="inlineStr">
        <is>
          <t>P1</t>
        </is>
      </c>
      <c r="I9" s="21" t="n"/>
      <c r="J9" s="21" t="n"/>
      <c r="K9" s="21" t="n"/>
    </row>
    <row r="10" ht="45.75" customHeight="1" s="16">
      <c r="B10" s="21" t="inlineStr">
        <is>
          <t>M-05</t>
        </is>
      </c>
      <c r="C10" s="21" t="inlineStr">
        <is>
          <t>Réédition d'un stop « Prêt »</t>
        </is>
      </c>
      <c r="D10" s="21" t="inlineStr">
        <is>
          <t>Tenter de rouvrir et modifier un stop déjà validé « Prêt » (ex. corriger le nombre de colis).</t>
        </is>
      </c>
      <c r="E10" s="21" t="inlineStr">
        <is>
          <t>Un bouton « Modifier » permet de rouvrir et corriger un stop déjà préparé.</t>
        </is>
      </c>
      <c r="F10" s="21" t="n"/>
      <c r="G10" s="29" t="n"/>
      <c r="H10" s="29" t="inlineStr">
        <is>
          <t>P2</t>
        </is>
      </c>
      <c r="I10" s="21" t="n"/>
      <c r="J10" s="21" t="n"/>
      <c r="K10" s="21" t="n"/>
    </row>
    <row r="11" ht="45.75" customHeight="1" s="16">
      <c r="B11" s="21" t="inlineStr">
        <is>
          <t>M-06</t>
        </is>
      </c>
      <c r="C11" s="21" t="inlineStr">
        <is>
          <t>Vue semaine — affichage et navigation</t>
        </is>
      </c>
      <c r="D11" s="21" t="inlineStr">
        <is>
          <t>Se connecter en MAGASIN, ouvrir l'onglet « Semaine », puis naviguer avec ‹ , › et « Cette semaine ».</t>
        </is>
      </c>
      <c r="E11" s="21" t="inlineStr">
        <is>
          <t>Les 7 jours s'affichent en colonnes, du lundi au dimanche, avec le libellé de la semaine, un compteur « prêts / total » par jour et le jour courant mis en évidence.</t>
        </is>
      </c>
      <c r="F11" s="21" t="n"/>
      <c r="G11" s="29" t="n"/>
      <c r="H11" s="29" t="inlineStr">
        <is>
          <t>P1</t>
        </is>
      </c>
      <c r="I11" s="21" t="n"/>
      <c r="J11" s="21" t="n"/>
      <c r="K11" s="21" t="n"/>
    </row>
    <row r="12" ht="45.75" customHeight="1" s="16">
      <c r="B12" s="21" t="inlineStr">
        <is>
          <t>M-07</t>
        </is>
      </c>
      <c r="C12" s="21" t="inlineStr">
        <is>
          <t>Vue semaine — contenu des cartes</t>
        </is>
      </c>
      <c r="D12" s="21" t="inlineStr">
        <is>
          <t>Observer les cartes d'une journée chargée dans la vue semaine.</t>
        </is>
      </c>
      <c r="E12" s="21" t="inlineStr">
        <is>
          <t>Chaque carte affiche le numéro d'affaire, la société, la tournée, et le cas échéant le type produit, le nombre de colis, l'emplacement, le nombre de photos et la mention « Brouillon ». La bordure gauche est colorée selon l'état de préparation.</t>
        </is>
      </c>
      <c r="F12" s="21" t="n"/>
      <c r="G12" s="29" t="n"/>
      <c r="H12" s="29" t="inlineStr">
        <is>
          <t>P2</t>
        </is>
      </c>
      <c r="I12" s="21" t="n"/>
      <c r="J12" s="21" t="n"/>
      <c r="K12" s="21" t="n"/>
    </row>
    <row r="13" ht="45.75" customHeight="1" s="16">
      <c r="B13" s="21" t="inlineStr">
        <is>
          <t>M-08</t>
        </is>
      </c>
      <c r="C13" s="21" t="inlineStr">
        <is>
          <t>Ouverture de la fiche depuis la vue semaine</t>
        </is>
      </c>
      <c r="D13" s="21" t="inlineStr">
        <is>
          <t>Cliquer sur une carte dans la vue semaine.</t>
        </is>
      </c>
      <c r="E13" s="21" t="inlineStr">
        <is>
          <t>La fiche de préparation s'ouvre, pré-remplie, et rappelle la date de livraison du stop. Après enregistrement, la vue semaine est mise à jour sans rechargement de page.</t>
        </is>
      </c>
      <c r="F13" s="21" t="n"/>
      <c r="G13" s="29" t="n"/>
      <c r="H13" s="29" t="inlineStr">
        <is>
          <t>P1</t>
        </is>
      </c>
      <c r="I13" s="21" t="n"/>
      <c r="J13" s="21" t="n"/>
      <c r="K13" s="21" t="n"/>
    </row>
    <row r="14" ht="45.75" customHeight="1" s="16">
      <c r="B14" s="21" t="inlineStr">
        <is>
          <t>M-09</t>
        </is>
      </c>
      <c r="C14" s="21" t="inlineStr">
        <is>
          <t>Enregistrement d'une préparation incomplète</t>
        </is>
      </c>
      <c r="D14" s="21" t="inlineStr">
        <is>
          <t>Ouvrir une fiche, saisir uniquement l'emplacement (sans le nombre de colis), cliquer sur « Enregistrer », puis fermer la fiche et la rouvrir.</t>
        </is>
      </c>
      <c r="E14" s="21" t="inlineStr">
        <is>
          <t>L'enregistrement est accepté sans exiger le nombre de colis. Le stop passe en « Brouillon » (et non « Prêt »), et l'emplacement saisi est bien restitué à la réouverture.</t>
        </is>
      </c>
      <c r="F14" s="21" t="n"/>
      <c r="G14" s="29" t="n"/>
      <c r="H14" s="29" t="inlineStr">
        <is>
          <t>P1</t>
        </is>
      </c>
      <c r="I14" s="21" t="n"/>
      <c r="J14" s="21" t="n"/>
      <c r="K14" s="21" t="n"/>
    </row>
    <row r="15" ht="45.75" customHeight="1" s="16">
      <c r="B15" s="21" t="inlineStr">
        <is>
          <t>M-10</t>
        </is>
      </c>
      <c r="C15" s="21" t="inlineStr">
        <is>
          <t>Reprise puis validation d'un brouillon</t>
        </is>
      </c>
      <c r="D15" s="21" t="inlineStr">
        <is>
          <t>Rouvrir un stop en « Brouillon », compléter le nombre de colis et le commentaire, puis cliquer sur « Valider — colis prêts ».</t>
        </is>
      </c>
      <c r="E15" s="21" t="inlineStr">
        <is>
          <t>Les données déjà saisies sont conservées, la validation passe le stop en « Prêt », les compteurs sont mis à jour et le livreur voit l'information.</t>
        </is>
      </c>
      <c r="F15" s="21" t="n"/>
      <c r="G15" s="29" t="n"/>
      <c r="H15" s="29" t="inlineStr">
        <is>
          <t>P1</t>
        </is>
      </c>
      <c r="I15" s="21" t="n"/>
      <c r="J15" s="21" t="n"/>
      <c r="K15" s="21" t="n"/>
    </row>
    <row r="16" ht="45.75" customHeight="1" s="16">
      <c r="B16" s="21" t="inlineStr">
        <is>
          <t>M-11</t>
        </is>
      </c>
      <c r="C16" s="21" t="inlineStr">
        <is>
          <t>Validation impossible sans nombre de colis</t>
        </is>
      </c>
      <c r="D16" s="21" t="inlineStr">
        <is>
          <t>Ouvrir une fiche vide et cliquer directement sur « Valider — colis prêts ».</t>
        </is>
      </c>
      <c r="E16" s="21" t="inlineStr">
        <is>
          <t>La validation est refusée avec un message explicite invitant à utiliser « Enregistrer » pour reprendre plus tard. Aucun stop n'est marqué « Prêt ».</t>
        </is>
      </c>
      <c r="F16" s="21" t="n"/>
      <c r="G16" s="29" t="n"/>
      <c r="H16" s="29" t="inlineStr">
        <is>
          <t>P2</t>
        </is>
      </c>
      <c r="I16" s="21" t="n"/>
      <c r="J16" s="21" t="n"/>
      <c r="K16" s="21" t="n"/>
    </row>
    <row r="17" ht="45.75" customHeight="1" s="16">
      <c r="B17" s="21" t="inlineStr">
        <is>
          <t>M-12</t>
        </is>
      </c>
      <c r="C17" s="21" t="inlineStr">
        <is>
          <t>Photos ajoutées en mode brouillon</t>
        </is>
      </c>
      <c r="D17" s="21" t="inlineStr">
        <is>
          <t>Ajouter une photo, cliquer sur « Enregistrer » (sans valider), puis rouvrir la fiche.</t>
        </is>
      </c>
      <c r="E17" s="21" t="inlineStr">
        <is>
          <t>La photo est bien téléversée et visible à la réouverture, alors que le stop reste en « Brouillon ».</t>
        </is>
      </c>
      <c r="F17" s="21" t="n"/>
      <c r="G17" s="29" t="n"/>
      <c r="H17" s="29" t="inlineStr">
        <is>
          <t>P2</t>
        </is>
      </c>
      <c r="I17" s="21" t="n"/>
      <c r="J17" s="21" t="n"/>
      <c r="K17" s="21" t="n"/>
    </row>
  </sheetData>
  <mergeCells count="2">
    <mergeCell ref="B3:K3"/>
    <mergeCell ref="B2:K2"/>
  </mergeCells>
  <dataValidations count="2">
    <dataValidation sqref="G6:G17" showDropDown="0" showInputMessage="0" showErrorMessage="0" allowBlank="1" type="list">
      <formula1>"OK,KO,Partiel,Non testé"</formula1>
    </dataValidation>
    <dataValidation sqref="H6:H17"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K17"/>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ADV — Console de pilotage</t>
        </is>
      </c>
    </row>
    <row r="3" ht="15" customHeight="1" s="16">
      <c r="B3" s="18" t="inlineStr">
        <is>
          <t>Tableau de bord, création et gestion des tournées</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A-01</t>
        </is>
      </c>
      <c r="C6" s="21" t="inlineStr">
        <is>
          <t>Tableau de bord et filtres</t>
        </is>
      </c>
      <c r="D6" s="21" t="inlineStr">
        <is>
          <t>Consulter le tableau ADV, tester les filtres ATRIAL / Enlèvement / Transporteur / Tous et la carte.</t>
        </is>
      </c>
      <c r="E6" s="21" t="inlineStr">
        <is>
          <t>Le tableau affiche toutes les colonnes (dont la date de livraison), les filtres fonctionnent et la carte affiche des marqueurs colorés par statut.</t>
        </is>
      </c>
      <c r="F6" s="21" t="n"/>
      <c r="G6" s="29" t="n"/>
      <c r="H6" s="29" t="inlineStr">
        <is>
          <t>P1</t>
        </is>
      </c>
      <c r="I6" s="21" t="n"/>
      <c r="J6" s="21" t="n"/>
      <c r="K6" s="21" t="n"/>
    </row>
    <row r="7" ht="45.75" customHeight="1" s="16">
      <c r="B7" s="21" t="inlineStr">
        <is>
          <t>A-02</t>
        </is>
      </c>
      <c r="C7" s="21" t="inlineStr">
        <is>
          <t>Création d'un stop + géocodage</t>
        </is>
      </c>
      <c r="D7" s="21" t="inlineStr">
        <is>
          <t>Créer un nouveau stop via « + Nouvelle livraison » avec une adresse complète.</t>
        </is>
      </c>
      <c r="E7" s="21" t="inlineStr">
        <is>
          <t>Le stop est créé et affiché immédiatement, avec géocodage automatique (coordonnées attribuées sans action manuelle).</t>
        </is>
      </c>
      <c r="F7" s="21" t="n"/>
      <c r="G7" s="29" t="n"/>
      <c r="H7" s="29" t="inlineStr">
        <is>
          <t>P1</t>
        </is>
      </c>
      <c r="I7" s="21" t="n"/>
      <c r="J7" s="21" t="n"/>
      <c r="K7" s="21" t="n"/>
    </row>
    <row r="8" ht="45.75" customHeight="1" s="16">
      <c r="B8" s="21" t="inlineStr">
        <is>
          <t>A-03</t>
        </is>
      </c>
      <c r="C8" s="21" t="inlineStr">
        <is>
          <t>Synchronisation TYPE / TOURNÉE</t>
        </is>
      </c>
      <c r="D8" s="21" t="inlineStr">
        <is>
          <t>Créer ou modifier un stop en choisissant une tournée « Enlèvement » ou « Transporteur ».</t>
        </is>
      </c>
      <c r="E8" s="21" t="inlineStr">
        <is>
          <t>Le champ TYPE se met à jour automatiquement en cohérence avec la tournée choisie.</t>
        </is>
      </c>
      <c r="F8" s="21" t="n"/>
      <c r="G8" s="29" t="n"/>
      <c r="H8" s="29" t="inlineStr">
        <is>
          <t>P2</t>
        </is>
      </c>
      <c r="I8" s="21" t="n"/>
      <c r="J8" s="21" t="n"/>
      <c r="K8" s="21" t="n"/>
    </row>
    <row r="9" ht="45.75" customHeight="1" s="16">
      <c r="B9" s="21" t="inlineStr">
        <is>
          <t>A-04</t>
        </is>
      </c>
      <c r="C9" s="21" t="inlineStr">
        <is>
          <t>Modification tournée / véhicule</t>
        </is>
      </c>
      <c r="D9" s="21" t="inlineStr">
        <is>
          <t>Modifier la tournée et le véhicule (PL/VL) d'un stop existant.</t>
        </is>
      </c>
      <c r="E9" s="21" t="inlineStr">
        <is>
          <t>Le changement est enregistré (auto-save ou bouton dédié) et persiste après rechargement de la page.</t>
        </is>
      </c>
      <c r="F9" s="21" t="n"/>
      <c r="G9" s="29" t="n"/>
      <c r="H9" s="29" t="inlineStr">
        <is>
          <t>P2</t>
        </is>
      </c>
      <c r="I9" s="21" t="n"/>
      <c r="J9" s="21" t="n"/>
      <c r="K9" s="21" t="n"/>
    </row>
    <row r="10" ht="45.75" customHeight="1" s="16">
      <c r="B10" s="21" t="inlineStr">
        <is>
          <t>A-05</t>
        </is>
      </c>
      <c r="C10" s="21" t="inlineStr">
        <is>
          <t>Report d'un stop</t>
        </is>
      </c>
      <c r="D10" s="21" t="inlineStr">
        <is>
          <t>Utiliser l'icône calendrier pour reporter un stop à une nouvelle date.</t>
        </is>
      </c>
      <c r="E10" s="21" t="inlineStr">
        <is>
          <t>Une modale de confirmation s'affiche, le stop quitte la liste du jour et apparaît à la nouvelle date.</t>
        </is>
      </c>
      <c r="F10" s="21" t="n"/>
      <c r="G10" s="29" t="n"/>
      <c r="H10" s="29" t="inlineStr">
        <is>
          <t>P2</t>
        </is>
      </c>
      <c r="I10" s="21" t="n"/>
      <c r="J10" s="21" t="n"/>
      <c r="K10" s="21" t="n"/>
    </row>
    <row r="11" ht="45.75" customHeight="1" s="16">
      <c r="B11" s="21" t="inlineStr">
        <is>
          <t>A-06</t>
        </is>
      </c>
      <c r="C11" s="21" t="inlineStr">
        <is>
          <t>Suppression d'un stop</t>
        </is>
      </c>
      <c r="D11" s="21" t="inlineStr">
        <is>
          <t>Supprimer un stop de test.</t>
        </is>
      </c>
      <c r="E11" s="21" t="inlineStr">
        <is>
          <t>Une confirmation explicite (« action irréversible ») est demandée avant suppression effective.</t>
        </is>
      </c>
      <c r="F11" s="21" t="n"/>
      <c r="G11" s="29" t="n"/>
      <c r="H11" s="29" t="inlineStr">
        <is>
          <t>P2</t>
        </is>
      </c>
      <c r="I11" s="21" t="n"/>
      <c r="J11" s="21" t="n"/>
      <c r="K11" s="21" t="n"/>
    </row>
    <row r="12" ht="45.75" customHeight="1" s="16">
      <c r="B12" s="21" t="inlineStr">
        <is>
          <t>A-07</t>
        </is>
      </c>
      <c r="C12" s="21" t="inlineStr">
        <is>
          <t>Annulation de statut</t>
        </is>
      </c>
      <c r="D12" s="21" t="inlineStr">
        <is>
          <t>Sur un stop « Livré », utiliser l'action « Annuler » depuis le tableau ADV.</t>
        </is>
      </c>
      <c r="E12" s="21" t="inlineStr">
        <is>
          <t>Le stop repasse au statut « À livrer ».</t>
        </is>
      </c>
      <c r="F12" s="21" t="n"/>
      <c r="G12" s="29" t="n"/>
      <c r="H12" s="29" t="inlineStr">
        <is>
          <t>P2</t>
        </is>
      </c>
      <c r="I12" s="21" t="n"/>
      <c r="J12" s="21" t="n"/>
      <c r="K12" s="21" t="n"/>
    </row>
    <row r="13" ht="45.75" customHeight="1" s="16">
      <c r="B13" s="21" t="inlineStr">
        <is>
          <t>A-08</t>
        </is>
      </c>
      <c r="C13" s="21" t="inlineStr">
        <is>
          <t>Navigation par date</t>
        </is>
      </c>
      <c r="D13" s="21" t="inlineStr">
        <is>
          <t>Chercher un sélecteur de date pour consulter les stops d'un autre jour que le jour en cours.</t>
        </is>
      </c>
      <c r="E13" s="21" t="inlineStr">
        <is>
          <t>Un sélecteur de date permet de naviguer entre les jours (pas uniquement le jour en cours).</t>
        </is>
      </c>
      <c r="F13" s="21" t="n"/>
      <c r="G13" s="29" t="n"/>
      <c r="H13" s="29" t="inlineStr">
        <is>
          <t>P3</t>
        </is>
      </c>
      <c r="I13" s="21" t="n"/>
      <c r="J13" s="21" t="n"/>
      <c r="K13" s="21" t="n"/>
    </row>
    <row r="14" ht="45.75" customHeight="1" s="16">
      <c r="B14" s="21" t="inlineStr">
        <is>
          <t>A-09</t>
        </is>
      </c>
      <c r="C14" s="21" t="inlineStr">
        <is>
          <t>Fermeture de la modale « Nouvelle livraison »</t>
        </is>
      </c>
      <c r="D14" s="21" t="inlineStr">
        <is>
          <t>Ouvrir « + Nouvelle livraison » sans rien saisir, puis la fermer successivement par la croix en haut à droite, par un clic sur le fond sombre, et par la touche Échap.</t>
        </is>
      </c>
      <c r="E14" s="21" t="inlineStr">
        <is>
          <t>Les trois méthodes ferment la modale. Aucune saisie n'est requise pour pouvoir la quitter et la vue ADV reste utilisable.</t>
        </is>
      </c>
      <c r="F14" s="21" t="n"/>
      <c r="G14" s="29" t="n"/>
      <c r="H14" s="29" t="inlineStr">
        <is>
          <t>P1</t>
        </is>
      </c>
      <c r="I14" s="21" t="n"/>
      <c r="J14" s="21" t="n"/>
      <c r="K14" s="21" t="n"/>
    </row>
    <row r="15" ht="45.75" customHeight="1" s="16">
      <c r="B15" s="21" t="inlineStr">
        <is>
          <t>A-10</t>
        </is>
      </c>
      <c r="C15" s="21" t="inlineStr">
        <is>
          <t>Fermeture des autres modales ADV</t>
        </is>
      </c>
      <c r="D15" s="21" t="inlineStr">
        <is>
          <t>Répéter le test A-09 sur les modales « Planifier ce stop », « Supprimer ce stop » et « Reporter ce stop ».</t>
        </is>
      </c>
      <c r="E15" s="21" t="inlineStr">
        <is>
          <t>Chaque modale dispose d'une croix et se ferme aussi par clic sur le fond ou touche Échap, sans déclencher l'action associée.</t>
        </is>
      </c>
      <c r="F15" s="21" t="n"/>
      <c r="G15" s="29" t="n"/>
      <c r="H15" s="29" t="inlineStr">
        <is>
          <t>P2</t>
        </is>
      </c>
      <c r="I15" s="21" t="n"/>
      <c r="J15" s="21" t="n"/>
      <c r="K15" s="21" t="n"/>
    </row>
    <row r="16" ht="45.75" customHeight="1" s="16">
      <c r="B16" s="21" t="inlineStr">
        <is>
          <t>A-11</t>
        </is>
      </c>
      <c r="C16" s="21" t="inlineStr">
        <is>
          <t>Modale sur écran de faible hauteur</t>
        </is>
      </c>
      <c r="D16" s="21" t="inlineStr">
        <is>
          <t>Réduire la hauteur de la fenêtre puis ouvrir « + Nouvelle livraison ».</t>
        </is>
      </c>
      <c r="E16" s="21" t="inlineStr">
        <is>
          <t>Le contenu de la modale défile et les boutons d'action restent atteignables ; la croix de fermeture reste visible.</t>
        </is>
      </c>
      <c r="F16" s="21" t="n"/>
      <c r="G16" s="29" t="n"/>
      <c r="H16" s="29" t="inlineStr">
        <is>
          <t>P3</t>
        </is>
      </c>
      <c r="I16" s="21" t="n"/>
      <c r="J16" s="21" t="n"/>
      <c r="K16" s="21" t="n"/>
    </row>
    <row r="17" ht="45.75" customHeight="1" s="16">
      <c r="B17" s="21" t="inlineStr">
        <is>
          <t>A-12</t>
        </is>
      </c>
      <c r="C17" s="21" t="inlineStr">
        <is>
          <t>Référence client et numéro d'affaire</t>
        </is>
      </c>
      <c r="D17" s="21" t="inlineStr">
        <is>
          <t>Créer un stop en renseignant le numéro d'affaire et la référence client, puis consulter l'onglet Planning.</t>
        </is>
      </c>
      <c r="E17" s="21" t="inlineStr">
        <is>
          <t>Le numéro d'affaire et la référence client remontent bien dans la vue Planning à la date de livraison choisie.</t>
        </is>
      </c>
      <c r="F17" s="21" t="n"/>
      <c r="G17" s="29" t="n"/>
      <c r="H17" s="29" t="inlineStr">
        <is>
          <t>P2</t>
        </is>
      </c>
      <c r="I17" s="21" t="n"/>
      <c r="J17" s="21" t="n"/>
      <c r="K17" s="21" t="n"/>
    </row>
  </sheetData>
  <mergeCells count="2">
    <mergeCell ref="B3:K3"/>
    <mergeCell ref="B2:K2"/>
  </mergeCells>
  <dataValidations count="2">
    <dataValidation sqref="G6:G17" showDropDown="0" showInputMessage="0" showErrorMessage="0" allowBlank="1" type="list">
      <formula1>"OK,KO,Partiel,Non testé"</formula1>
    </dataValidation>
    <dataValidation sqref="H6:H17"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K11"/>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ADMIN — Administration</t>
        </is>
      </c>
    </row>
    <row r="3" ht="15" customHeight="1" s="16">
      <c r="B3" s="18" t="inlineStr">
        <is>
          <t>Gestion des utilisateurs, debug stops et supervision</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AD-01</t>
        </is>
      </c>
      <c r="C6" s="21" t="inlineStr">
        <is>
          <t>Gestion des utilisateurs</t>
        </is>
      </c>
      <c r="D6" s="21" t="inlineStr">
        <is>
          <t>Créer un nouvel utilisateur, le révoquer, puis le réactiver.</t>
        </is>
      </c>
      <c r="E6" s="21" t="inlineStr">
        <is>
          <t>Chaque action se reflète immédiatement dans la liste et dans les compteurs (actifs / révoqués).</t>
        </is>
      </c>
      <c r="F6" s="21" t="n"/>
      <c r="G6" s="29" t="n"/>
      <c r="H6" s="29" t="inlineStr">
        <is>
          <t>P1</t>
        </is>
      </c>
      <c r="I6" s="21" t="n"/>
      <c r="J6" s="21" t="n"/>
      <c r="K6" s="21" t="n"/>
    </row>
    <row r="7" ht="45.75" customHeight="1" s="16">
      <c r="B7" s="21" t="inlineStr">
        <is>
          <t>AD-02</t>
        </is>
      </c>
      <c r="C7" s="21" t="inlineStr">
        <is>
          <t>Réinitialisation de mot de passe</t>
        </is>
      </c>
      <c r="D7" s="21" t="inlineStr">
        <is>
          <t>Réinitialiser le mot de passe d'un utilisateur test.</t>
        </is>
      </c>
      <c r="E7" s="21" t="inlineStr">
        <is>
          <t>Un mot de passe temporaire est communiqué (affiché à l'admin et/ou envoyé par email à l'utilisateur), pas seulement un message de confirmation.</t>
        </is>
      </c>
      <c r="F7" s="21" t="n"/>
      <c r="G7" s="29" t="n"/>
      <c r="H7" s="29" t="inlineStr">
        <is>
          <t>P1</t>
        </is>
      </c>
      <c r="I7" s="21" t="n"/>
      <c r="J7" s="21" t="n"/>
      <c r="K7" s="21" t="n"/>
    </row>
    <row r="8" ht="45.75" customHeight="1" s="16">
      <c r="B8" s="21" t="inlineStr">
        <is>
          <t>AD-03</t>
        </is>
      </c>
      <c r="C8" s="21" t="inlineStr">
        <is>
          <t>Debug stops</t>
        </is>
      </c>
      <c r="D8" s="21" t="inlineStr">
        <is>
          <t>Sélectionner une date, ouvrir un stop et modifier ses champs, puis sauvegarder.</t>
        </is>
      </c>
      <c r="E8" s="21" t="inlineStr">
        <is>
          <t>Tous les champs sont modifiables et la sauvegarde est confirmée (« Stop mis à jour »).</t>
        </is>
      </c>
      <c r="F8" s="21" t="n"/>
      <c r="G8" s="29" t="n"/>
      <c r="H8" s="29" t="inlineStr">
        <is>
          <t>P2</t>
        </is>
      </c>
      <c r="I8" s="21" t="n"/>
      <c r="J8" s="21" t="n"/>
      <c r="K8" s="21" t="n"/>
    </row>
    <row r="9" ht="45.75" customHeight="1" s="16">
      <c r="B9" s="21" t="inlineStr">
        <is>
          <t>AD-04</t>
        </is>
      </c>
      <c r="C9" s="21" t="inlineStr">
        <is>
          <t>Géocoder les stops manquants</t>
        </is>
      </c>
      <c r="D9" s="21" t="inlineStr">
        <is>
          <t>Cliquer sur « Géocoder manquants ».</t>
        </is>
      </c>
      <c r="E9" s="21" t="inlineStr">
        <is>
          <t>Une requête est déclenchée et un retour visuel indique le nombre de stops géocodés (ou « 0 stop à géocoder »).</t>
        </is>
      </c>
      <c r="F9" s="21" t="n"/>
      <c r="G9" s="29" t="n"/>
      <c r="H9" s="29" t="inlineStr">
        <is>
          <t>P2</t>
        </is>
      </c>
      <c r="I9" s="21" t="n"/>
      <c r="J9" s="21" t="n"/>
      <c r="K9" s="21" t="n"/>
    </row>
    <row r="10" ht="45.75" customHeight="1" s="16">
      <c r="B10" s="21" t="inlineStr">
        <is>
          <t>AD-05</t>
        </is>
      </c>
      <c r="C10" s="21" t="inlineStr">
        <is>
          <t>Logs d'activité</t>
        </is>
      </c>
      <c r="D10" s="21" t="inlineStr">
        <is>
          <t>Effectuer plusieurs actions (connexion, changement de statut, création/suppression de stop) puis consulter la page « Logs d'activité ».</t>
        </is>
      </c>
      <c r="E10" s="21" t="inlineStr">
        <is>
          <t>Les actions réalisées apparaissent dans la liste des logs.</t>
        </is>
      </c>
      <c r="F10" s="21" t="n"/>
      <c r="G10" s="29" t="n"/>
      <c r="H10" s="29" t="inlineStr">
        <is>
          <t>P2</t>
        </is>
      </c>
      <c r="I10" s="21" t="n"/>
      <c r="J10" s="21" t="n"/>
      <c r="K10" s="21" t="n"/>
    </row>
    <row r="11" ht="45.75" customHeight="1" s="16">
      <c r="B11" s="21" t="inlineStr">
        <is>
          <t>AD-06</t>
        </is>
      </c>
      <c r="C11" s="21" t="inlineStr">
        <is>
          <t>Sélecteur de date (Debug stops / Report)</t>
        </is>
      </c>
      <c r="D11" s="21" t="inlineStr">
        <is>
          <t>Saisir une date au clavier dans le sélecteur, en particulier sur le segment « année ».</t>
        </is>
      </c>
      <c r="E11" s="21" t="inlineStr">
        <is>
          <t>Le segment année se remplace correctement à la saisie (pas d'accumulation de chiffres type « 275760 »), la liste reste cohérente.</t>
        </is>
      </c>
      <c r="F11" s="21" t="n"/>
      <c r="G11" s="29" t="n"/>
      <c r="H11" s="29" t="inlineStr">
        <is>
          <t>P2</t>
        </is>
      </c>
      <c r="I11" s="21" t="n"/>
      <c r="J11" s="21" t="n"/>
      <c r="K11" s="21" t="n"/>
    </row>
  </sheetData>
  <mergeCells count="2">
    <mergeCell ref="B3:K3"/>
    <mergeCell ref="B2:K2"/>
  </mergeCells>
  <dataValidations count="2">
    <dataValidation sqref="G6:G11" showDropDown="0" showInputMessage="0" showErrorMessage="0" allowBlank="1" type="list">
      <formula1>"OK,KO,Partiel,Non testé"</formula1>
    </dataValidation>
    <dataValidation sqref="H6:H11"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B2:K1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 customWidth="1" style="16" min="1" max="1"/>
    <col width="10" customWidth="1" style="16" min="2" max="2"/>
    <col width="30" customWidth="1" style="16" min="3" max="3"/>
    <col width="38" customWidth="1" style="16" min="4" max="4"/>
    <col width="34" customWidth="1" style="16" min="5" max="5"/>
    <col width="30" customWidth="1" style="16" min="6" max="6"/>
    <col width="12" customWidth="1" style="16" min="7" max="7"/>
    <col width="10" customWidth="1" style="16" min="8" max="8"/>
    <col width="14" customWidth="1" style="16" min="9" max="9"/>
    <col width="12" customWidth="1" style="16" min="10" max="10"/>
    <col width="30" customWidth="1" style="16" min="11" max="11"/>
  </cols>
  <sheetData>
    <row r="2" ht="19.7" customHeight="1" s="16">
      <c r="B2" s="17" t="inlineStr">
        <is>
          <t>PLANNING — Vue d'ensemble des livraisons</t>
        </is>
      </c>
    </row>
    <row r="3" ht="15" customHeight="1" s="16">
      <c r="B3" s="18" t="inlineStr">
        <is>
          <t>Planning semaine / mois / trimestre, référence affaire et mode écran</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P-01</t>
        </is>
      </c>
      <c r="C6" s="21" t="inlineStr">
        <is>
          <t>Accès au planning (ADV et ADMIN)</t>
        </is>
      </c>
      <c r="D6" s="21" t="inlineStr">
        <is>
          <t>Ouvrir l'onglet « Planning » depuis la console ADV, puis depuis la console ADMIN.</t>
        </is>
      </c>
      <c r="E6" s="21" t="inlineStr">
        <is>
          <t>Le planning s'affiche dans les deux consoles avec les mêmes données.</t>
        </is>
      </c>
      <c r="F6" s="21" t="n"/>
      <c r="G6" s="29" t="n"/>
      <c r="H6" s="29" t="inlineStr">
        <is>
          <t>P1</t>
        </is>
      </c>
      <c r="I6" s="21" t="n"/>
      <c r="J6" s="21" t="n"/>
      <c r="K6" s="21" t="n"/>
    </row>
    <row r="7" ht="45.75" customHeight="1" s="16">
      <c r="B7" s="21" t="inlineStr">
        <is>
          <t>P-02</t>
        </is>
      </c>
      <c r="C7" s="21" t="inlineStr">
        <is>
          <t>Vues semaine / mois / trimestre</t>
        </is>
      </c>
      <c r="D7" s="21" t="inlineStr">
        <is>
          <t>Basculer entre les trois vues et naviguer avec ‹ , › et « Aujourd'hui ».</t>
        </is>
      </c>
      <c r="E7" s="21" t="inlineStr">
        <is>
          <t>Chaque vue affiche la bonne période, le nombre de stops par jour, et la navigation revient correctement sur la période courante.</t>
        </is>
      </c>
      <c r="F7" s="21" t="n"/>
      <c r="G7" s="29" t="n"/>
      <c r="H7" s="29" t="inlineStr">
        <is>
          <t>P1</t>
        </is>
      </c>
      <c r="I7" s="21" t="n"/>
      <c r="J7" s="21" t="n"/>
      <c r="K7" s="21" t="n"/>
    </row>
    <row r="8" ht="45.75" customHeight="1" s="16">
      <c r="B8" s="21" t="inlineStr">
        <is>
          <t>P-03</t>
        </is>
      </c>
      <c r="C8" s="21" t="inlineStr">
        <is>
          <t>Affichage de la référence affaire</t>
        </is>
      </c>
      <c r="D8" s="21" t="inlineStr">
        <is>
          <t>En vue semaine, observer une journée comportant plusieurs livraisons.</t>
        </is>
      </c>
      <c r="E8" s="21" t="inlineStr">
        <is>
          <t>Chaque livraison affiche son numéro d'affaire (« N° 2026-089 ») avec, en dessous, la référence client ou la société. Les stops sans numéro d'affaire restent affichés avec leur client seul.</t>
        </is>
      </c>
      <c r="F8" s="21" t="n"/>
      <c r="G8" s="29" t="n"/>
      <c r="H8" s="29" t="inlineStr">
        <is>
          <t>P1</t>
        </is>
      </c>
      <c r="I8" s="21" t="n"/>
      <c r="J8" s="21" t="n"/>
      <c r="K8" s="21" t="n"/>
    </row>
    <row r="9" ht="45.75" customHeight="1" s="16">
      <c r="B9" s="21" t="inlineStr">
        <is>
          <t>P-04</t>
        </is>
      </c>
      <c r="C9" s="21" t="inlineStr">
        <is>
          <t>Code couleur par statut</t>
        </is>
      </c>
      <c r="D9" s="21" t="inlineStr">
        <is>
          <t>Comparer, sur une même journée, des stops à livrer, en cours et livrés.</t>
        </is>
      </c>
      <c r="E9" s="21" t="inlineStr">
        <is>
          <t>La bordure gauche de chaque ligne reprend la couleur du statut, cohérente avec la barre de progression du jour.</t>
        </is>
      </c>
      <c r="F9" s="21" t="n"/>
      <c r="G9" s="29" t="n"/>
      <c r="H9" s="29" t="inlineStr">
        <is>
          <t>P2</t>
        </is>
      </c>
      <c r="I9" s="21" t="n"/>
      <c r="J9" s="21" t="n"/>
      <c r="K9" s="21" t="n"/>
    </row>
    <row r="10" ht="45.75" customHeight="1" s="16">
      <c r="B10" s="21" t="inlineStr">
        <is>
          <t>P-05</t>
        </is>
      </c>
      <c r="C10" s="21" t="inlineStr">
        <is>
          <t>Journée très chargée</t>
        </is>
      </c>
      <c r="D10" s="21" t="inlineStr">
        <is>
          <t>Consulter une journée comportant plus de 4 livraisons en vue semaine (hors mode écran).</t>
        </is>
      </c>
      <c r="E10" s="21" t="inlineStr">
        <is>
          <t>Les 4 premières livraisons sont listées puis la mention « +N autres » indique le reste, sans déformer la cellule.</t>
        </is>
      </c>
      <c r="F10" s="21" t="n"/>
      <c r="G10" s="29" t="n"/>
      <c r="H10" s="29" t="inlineStr">
        <is>
          <t>P3</t>
        </is>
      </c>
      <c r="I10" s="21" t="n"/>
      <c r="J10" s="21" t="n"/>
      <c r="K10" s="21" t="n"/>
    </row>
    <row r="11" ht="45.75" customHeight="1" s="16">
      <c r="B11" s="21" t="inlineStr">
        <is>
          <t>P-06</t>
        </is>
      </c>
      <c r="C11" s="21" t="inlineStr">
        <is>
          <t>Détail au survol en vue mois</t>
        </is>
      </c>
      <c r="D11" s="21" t="inlineStr">
        <is>
          <t>Survoler une journée renseignée en vue mois.</t>
        </is>
      </c>
      <c r="E11" s="21" t="inlineStr">
        <is>
          <t>Une infobulle liste les numéros d'affaire et clients du jour.</t>
        </is>
      </c>
      <c r="F11" s="21" t="n"/>
      <c r="G11" s="29" t="n"/>
      <c r="H11" s="29" t="inlineStr">
        <is>
          <t>P3</t>
        </is>
      </c>
      <c r="I11" s="21" t="n"/>
      <c r="J11" s="21" t="n"/>
      <c r="K11" s="21" t="n"/>
    </row>
    <row r="12" ht="45.75" customHeight="1" s="16">
      <c r="B12" s="21" t="inlineStr">
        <is>
          <t>P-07</t>
        </is>
      </c>
      <c r="C12" s="21" t="inlineStr">
        <is>
          <t>Activation du mode écran</t>
        </is>
      </c>
      <c r="D12" s="21" t="inlineStr">
        <is>
          <t>Cliquer sur « 🖥 Mode écran ».</t>
        </is>
      </c>
      <c r="E12" s="21" t="inlineStr">
        <is>
          <t>L'affichage passe en plein écran, le menu latéral et la barre supérieure disparaissent, la typographie est agrandie et toutes les livraisons du jour sont affichées sans troncature.</t>
        </is>
      </c>
      <c r="F12" s="21" t="n"/>
      <c r="G12" s="29" t="n"/>
      <c r="H12" s="29" t="inlineStr">
        <is>
          <t>P1</t>
        </is>
      </c>
      <c r="I12" s="21" t="n"/>
      <c r="J12" s="21" t="n"/>
      <c r="K12" s="21" t="n"/>
    </row>
    <row r="13" ht="45.75" customHeight="1" s="16">
      <c r="B13" s="21" t="inlineStr">
        <is>
          <t>P-08</t>
        </is>
      </c>
      <c r="C13" s="21" t="inlineStr">
        <is>
          <t>Bandeau de synthèse du mode écran</t>
        </is>
      </c>
      <c r="D13" s="21" t="inlineStr">
        <is>
          <t>En mode écran, contrôler le bandeau supérieur.</t>
        </is>
      </c>
      <c r="E13" s="21" t="inlineStr">
        <is>
          <t>Le bandeau affiche le total de stops de la période, les livrés avec leur pourcentage, les en cours, les à livrer, ainsi que l'heure courante mise à jour chaque minute.</t>
        </is>
      </c>
      <c r="F13" s="21" t="n"/>
      <c r="G13" s="29" t="n"/>
      <c r="H13" s="29" t="inlineStr">
        <is>
          <t>P2</t>
        </is>
      </c>
      <c r="I13" s="21" t="n"/>
      <c r="J13" s="21" t="n"/>
      <c r="K13" s="21" t="n"/>
    </row>
    <row r="14" ht="45.75" customHeight="1" s="16">
      <c r="B14" s="21" t="inlineStr">
        <is>
          <t>P-09</t>
        </is>
      </c>
      <c r="C14" s="21" t="inlineStr">
        <is>
          <t>Rafraîchissement automatique</t>
        </is>
      </c>
      <c r="D14" s="21" t="inlineStr">
        <is>
          <t>Laisser le mode écran actif, faire évoluer un statut depuis une autre session, puis attendre une minute.</t>
        </is>
      </c>
      <c r="E14" s="21" t="inlineStr">
        <is>
          <t>Le planning se met à jour seul, sans intervention ni rechargement manuel.</t>
        </is>
      </c>
      <c r="F14" s="21" t="n"/>
      <c r="G14" s="29" t="n"/>
      <c r="H14" s="29" t="inlineStr">
        <is>
          <t>P1</t>
        </is>
      </c>
      <c r="I14" s="21" t="n"/>
      <c r="J14" s="21" t="n"/>
      <c r="K14" s="21" t="n"/>
    </row>
    <row r="15" ht="45.75" customHeight="1" s="16">
      <c r="B15" s="21" t="inlineStr">
        <is>
          <t>P-10</t>
        </is>
      </c>
      <c r="C15" s="21" t="inlineStr">
        <is>
          <t>Sortie du mode écran</t>
        </is>
      </c>
      <c r="D15" s="21" t="inlineStr">
        <is>
          <t>Quitter le mode écran par la touche Échap, puis une seconde fois par le bouton « ✕ Quitter l'écran ».</t>
        </is>
      </c>
      <c r="E15" s="21" t="inlineStr">
        <is>
          <t>Les deux méthodes restaurent l'affichage normal (menu et barre supérieure de retour) et arrêtent le rafraîchissement automatique.</t>
        </is>
      </c>
      <c r="F15" s="21" t="n"/>
      <c r="G15" s="29" t="n"/>
      <c r="H15" s="29" t="inlineStr">
        <is>
          <t>P2</t>
        </is>
      </c>
      <c r="I15" s="21" t="n"/>
      <c r="J15" s="21" t="n"/>
      <c r="K15" s="21" t="n"/>
    </row>
    <row r="16" ht="45.75" customHeight="1" s="16">
      <c r="B16" s="21" t="inlineStr">
        <is>
          <t>P-11</t>
        </is>
      </c>
      <c r="C16" s="21" t="inlineStr">
        <is>
          <t>Lisibilité sur écran de diffusion</t>
        </is>
      </c>
      <c r="D16" s="21" t="inlineStr">
        <is>
          <t>Afficher le mode écran sur l'écran destiné aux salariés, à la distance de lecture réelle.</t>
        </is>
      </c>
      <c r="E16" s="21" t="inlineStr">
        <is>
          <t>Numéros d'affaire, clients et compteurs sont lisibles depuis le poste de travail ; rien n'est coupé en bas de l'écran.</t>
        </is>
      </c>
      <c r="F16" s="21" t="n"/>
      <c r="G16" s="29" t="n"/>
      <c r="H16" s="29" t="inlineStr">
        <is>
          <t>P2</t>
        </is>
      </c>
      <c r="I16" s="21" t="n"/>
      <c r="J16" s="21" t="n"/>
      <c r="K16" s="21" t="n"/>
    </row>
  </sheetData>
  <mergeCells count="2">
    <mergeCell ref="B3:K3"/>
    <mergeCell ref="B2:K2"/>
  </mergeCells>
  <dataValidations count="2">
    <dataValidation sqref="G6:G16" showDropDown="0" showInputMessage="0" showErrorMessage="0" allowBlank="1" type="list">
      <formula1>"OK,KO,Partiel,Non testé"</formula1>
    </dataValidation>
    <dataValidation sqref="H6:H16" showDropDown="0" showInputMessage="0" showErrorMessage="0" allowBlank="1" type="list">
      <formula1>"P1,P2,P3"</formula1>
    </dataValidation>
  </dataValidations>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B2:K8"/>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WEBHOOK MAKE — Intégration entrante</t>
        </is>
      </c>
    </row>
    <row r="3" ht="15" customHeight="1" s="16">
      <c r="B3" s="18" t="inlineStr">
        <is>
          <t>Réception des stops via POST /api/webhook/stop</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W-01</t>
        </is>
      </c>
      <c r="C6" s="21" t="inlineStr">
        <is>
          <t>Réception webhook — données complètes</t>
        </is>
      </c>
      <c r="D6" s="21" t="inlineStr">
        <is>
          <t>Envoyer une requête POST sur /api/webhook/stop avec un JSON complet (société, adresse, téléphone, coordonnées, numéro d'affaire, type).</t>
        </is>
      </c>
      <c r="E6" s="21" t="inlineStr">
        <is>
          <t>Réponse 200 avec un identifiant de stop créé. Le stop apparaît côté ADV et LIVREUR.</t>
        </is>
      </c>
      <c r="F6" s="21" t="n"/>
      <c r="G6" s="29" t="n"/>
      <c r="H6" s="29" t="inlineStr">
        <is>
          <t>P1</t>
        </is>
      </c>
      <c r="I6" s="21" t="n"/>
      <c r="J6" s="21" t="n"/>
      <c r="K6" s="21" t="n"/>
    </row>
    <row r="7" ht="45.75" customHeight="1" s="16">
      <c r="B7" s="21" t="inlineStr">
        <is>
          <t>W-02</t>
        </is>
      </c>
      <c r="C7" s="21" t="inlineStr">
        <is>
          <t>Types de livraison acceptés</t>
        </is>
      </c>
      <c r="D7" s="21" t="inlineStr">
        <is>
          <t>Envoyer un webhook pour chacun des trois types : ATRIAL, ENLEVEMENT, TRANSPORTEUR.</t>
        </is>
      </c>
      <c r="E7" s="21" t="inlineStr">
        <is>
          <t>Les trois types sont acceptés et le stop créé porte le type correspondant.</t>
        </is>
      </c>
      <c r="F7" s="21" t="n"/>
      <c r="G7" s="29" t="n"/>
      <c r="H7" s="29" t="inlineStr">
        <is>
          <t>P2</t>
        </is>
      </c>
      <c r="I7" s="21" t="n"/>
      <c r="J7" s="21" t="n"/>
      <c r="K7" s="21" t="n"/>
    </row>
    <row r="8" ht="45.75" customHeight="1" s="16">
      <c r="B8" s="21" t="inlineStr">
        <is>
          <t>W-03</t>
        </is>
      </c>
      <c r="C8" s="21" t="inlineStr">
        <is>
          <t>Données manquantes ou invalides</t>
        </is>
      </c>
      <c r="D8" s="21" t="inlineStr">
        <is>
          <t>Envoyer un webhook avec des champs obligatoires manquants ou mal formés.</t>
        </is>
      </c>
      <c r="E8" s="21" t="inlineStr">
        <is>
          <t>Réponse 400 avec un message d'erreur explicite, aucun stop n'est créé.</t>
        </is>
      </c>
      <c r="F8" s="21" t="n"/>
      <c r="G8" s="29" t="n"/>
      <c r="H8" s="29" t="inlineStr">
        <is>
          <t>P2</t>
        </is>
      </c>
      <c r="I8" s="21" t="n"/>
      <c r="J8" s="21" t="n"/>
      <c r="K8" s="21" t="n"/>
    </row>
  </sheetData>
  <mergeCells count="2">
    <mergeCell ref="B3:K3"/>
    <mergeCell ref="B2:K2"/>
  </mergeCells>
  <dataValidations count="2">
    <dataValidation sqref="G6:G8" showDropDown="0" showInputMessage="0" showErrorMessage="0" allowBlank="1" type="list">
      <formula1>"OK,KO,Partiel,Non testé"</formula1>
    </dataValidation>
    <dataValidation sqref="H6:H8"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K19"/>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2" customWidth="1" style="15" min="1" max="1"/>
    <col width="10" customWidth="1" style="15" min="2" max="2"/>
    <col width="30" customWidth="1" style="15" min="3" max="3"/>
    <col width="38" customWidth="1" style="15" min="4" max="4"/>
    <col width="34" customWidth="1" style="15" min="5" max="5"/>
    <col width="30" customWidth="1" style="15" min="6" max="6"/>
    <col width="12" customWidth="1" style="15" min="7" max="7"/>
    <col width="10" customWidth="1" style="15" min="8" max="8"/>
    <col width="14" customWidth="1" style="15" min="9" max="9"/>
    <col width="12" customWidth="1" style="15" min="10" max="10"/>
    <col width="30" customWidth="1" style="15" min="11" max="11"/>
  </cols>
  <sheetData>
    <row r="2" ht="19.7" customHeight="1" s="16">
      <c r="B2" s="17" t="inlineStr">
        <is>
          <t>NON-RÉGRESSION</t>
        </is>
      </c>
    </row>
    <row r="3" ht="15" customHeight="1" s="16">
      <c r="B3" s="18" t="inlineStr">
        <is>
          <t>Re-vérification des bugs identifiés lors du test du 21/06/2026</t>
        </is>
      </c>
    </row>
    <row r="5" ht="25.5" customHeight="1" s="16">
      <c r="B5" s="22" t="inlineStr">
        <is>
          <t>ID</t>
        </is>
      </c>
      <c r="C5" s="22" t="inlineStr">
        <is>
          <t>Scénario de test</t>
        </is>
      </c>
      <c r="D5" s="22" t="inlineStr">
        <is>
          <t>Étapes</t>
        </is>
      </c>
      <c r="E5" s="22" t="inlineStr">
        <is>
          <t>Résultat attendu</t>
        </is>
      </c>
      <c r="F5" s="22" t="inlineStr">
        <is>
          <t>Résultat obtenu</t>
        </is>
      </c>
      <c r="G5" s="22" t="inlineStr">
        <is>
          <t>Statut</t>
        </is>
      </c>
      <c r="H5" s="22" t="inlineStr">
        <is>
          <t>Priorité</t>
        </is>
      </c>
      <c r="I5" s="22" t="inlineStr">
        <is>
          <t>Testeur</t>
        </is>
      </c>
      <c r="J5" s="22" t="inlineStr">
        <is>
          <t>Date</t>
        </is>
      </c>
      <c r="K5" s="22" t="inlineStr">
        <is>
          <t>Commentaire</t>
        </is>
      </c>
    </row>
    <row r="6" ht="45.75" customHeight="1" s="16">
      <c r="B6" s="21" t="inlineStr">
        <is>
          <t>NR-01</t>
        </is>
      </c>
      <c r="C6" s="21" t="inlineStr">
        <is>
          <t>BUG-001 — Carte Google Maps livreur</t>
        </is>
      </c>
      <c r="D6" s="21" t="inlineStr">
        <is>
          <t>Se connecter en LIVREUR et observer la carte.</t>
        </is>
      </c>
      <c r="E6" s="21" t="inlineStr">
        <is>
          <t>La carte s'affiche correctement avec des marqueurs, sans erreur « BillingNotEnabledMapError » ni filigrane « For development purposes only ».</t>
        </is>
      </c>
      <c r="F6" s="21" t="n"/>
      <c r="G6" s="29" t="n"/>
      <c r="H6" s="29" t="inlineStr">
        <is>
          <t>P1</t>
        </is>
      </c>
      <c r="I6" s="21" t="n"/>
      <c r="J6" s="21" t="n"/>
      <c r="K6" s="21" t="inlineStr">
        <is>
          <t>Corrigé lors du test du 21/06/2026 (facturation Google Maps ou migration Leaflet).</t>
        </is>
      </c>
    </row>
    <row r="7" ht="45.75" customHeight="1" s="16">
      <c r="B7" s="21" t="inlineStr">
        <is>
          <t>NR-02</t>
        </is>
      </c>
      <c r="C7" s="21" t="inlineStr">
        <is>
          <t>BUG-002 — Déconnexion LIVREUR/MAGASIN</t>
        </is>
      </c>
      <c r="D7" s="21" t="inlineStr">
        <is>
          <t>Se connecter en LIVREUR puis en MAGASIN et chercher le bouton de déconnexion.</t>
        </is>
      </c>
      <c r="E7" s="21" t="inlineStr">
        <is>
          <t>Un bouton de déconnexion est présent et fonctionnel dans les deux vues.</t>
        </is>
      </c>
      <c r="F7" s="21" t="n"/>
      <c r="G7" s="29" t="n"/>
      <c r="H7" s="29" t="inlineStr">
        <is>
          <t>P1</t>
        </is>
      </c>
      <c r="I7" s="21" t="n"/>
      <c r="J7" s="21" t="n"/>
      <c r="K7" s="21" t="n"/>
    </row>
    <row r="8" ht="45.75" customHeight="1" s="16">
      <c r="B8" s="21" t="inlineStr">
        <is>
          <t>NR-03</t>
        </is>
      </c>
      <c r="C8" s="21" t="inlineStr">
        <is>
          <t>BUG-P2-001 — Annulation d'un stop Livré</t>
        </is>
      </c>
      <c r="D8" s="21" t="inlineStr">
        <is>
          <t>Marquer un stop « Livré » côté LIVREUR puis chercher une action d'annulation.</t>
        </is>
      </c>
      <c r="E8" s="21" t="inlineStr">
        <is>
          <t>Une action « Annuler la livraison » est disponible.</t>
        </is>
      </c>
      <c r="F8" s="21" t="n"/>
      <c r="G8" s="29" t="n"/>
      <c r="H8" s="29" t="inlineStr">
        <is>
          <t>P2</t>
        </is>
      </c>
      <c r="I8" s="21" t="n"/>
      <c r="J8" s="21" t="n"/>
      <c r="K8" s="21" t="n"/>
    </row>
    <row r="9" ht="45.75" customHeight="1" s="16">
      <c r="B9" s="21" t="inlineStr">
        <is>
          <t>NR-04</t>
        </is>
      </c>
      <c r="C9" s="21" t="inlineStr">
        <is>
          <t>BUG-P2-002 — Géocodage automatique à la création</t>
        </is>
      </c>
      <c r="D9" s="21" t="inlineStr">
        <is>
          <t>Créer un stop côté ADV sans géocoder manuellement.</t>
        </is>
      </c>
      <c r="E9" s="21" t="inlineStr">
        <is>
          <t>Le stop obtient des coordonnées automatiquement, sans passer par « à planifier ».</t>
        </is>
      </c>
      <c r="F9" s="21" t="n"/>
      <c r="G9" s="29" t="n"/>
      <c r="H9" s="29" t="inlineStr">
        <is>
          <t>P2</t>
        </is>
      </c>
      <c r="I9" s="21" t="n"/>
      <c r="J9" s="21" t="n"/>
      <c r="K9" s="21" t="n"/>
    </row>
    <row r="10" ht="45.75" customHeight="1" s="16">
      <c r="B10" s="21" t="inlineStr">
        <is>
          <t>NR-05</t>
        </is>
      </c>
      <c r="C10" s="21" t="inlineStr">
        <is>
          <t>BUG-P2-003 — Synchronisation TYPE/TOURNÉE</t>
        </is>
      </c>
      <c r="D10" s="21" t="inlineStr">
        <is>
          <t>Choisir une tournée « Enlèvement » ou « Transporteur » à la création/modification d'un stop.</t>
        </is>
      </c>
      <c r="E10" s="21" t="inlineStr">
        <is>
          <t>Le TYPE se met à jour automatiquement, y compris via le clavier.</t>
        </is>
      </c>
      <c r="F10" s="21" t="n"/>
      <c r="G10" s="29" t="n"/>
      <c r="H10" s="29" t="inlineStr">
        <is>
          <t>P2</t>
        </is>
      </c>
      <c r="I10" s="21" t="n"/>
      <c r="J10" s="21" t="n"/>
      <c r="K10" s="21" t="n"/>
    </row>
    <row r="11" ht="45.75" customHeight="1" s="16">
      <c r="B11" s="21" t="inlineStr">
        <is>
          <t>NR-06</t>
        </is>
      </c>
      <c r="C11" s="21" t="inlineStr">
        <is>
          <t>BUG-P2-004 — Bouton « Géocoder manquants »</t>
        </is>
      </c>
      <c r="D11" s="21" t="inlineStr">
        <is>
          <t>Cliquer sur « Géocoder manquants » côté ADMIN.</t>
        </is>
      </c>
      <c r="E11" s="21" t="inlineStr">
        <is>
          <t>Une requête réseau est déclenchée et un retour visuel (nombre de stops géocodés) s'affiche.</t>
        </is>
      </c>
      <c r="F11" s="21" t="n"/>
      <c r="G11" s="29" t="n"/>
      <c r="H11" s="29" t="inlineStr">
        <is>
          <t>P2</t>
        </is>
      </c>
      <c r="I11" s="21" t="n"/>
      <c r="J11" s="21" t="n"/>
      <c r="K11" s="21" t="n"/>
    </row>
    <row r="12" ht="45.75" customHeight="1" s="16">
      <c r="B12" s="21" t="inlineStr">
        <is>
          <t>NR-07</t>
        </is>
      </c>
      <c r="C12" s="21" t="inlineStr">
        <is>
          <t>BUG-P2-005 — Journalisation des logs</t>
        </is>
      </c>
      <c r="D12" s="21" t="inlineStr">
        <is>
          <t>Effectuer des actions puis consulter « Logs d'activité ».</t>
        </is>
      </c>
      <c r="E12" s="21" t="inlineStr">
        <is>
          <t>Les actions sont enregistrées et visibles dans les logs.</t>
        </is>
      </c>
      <c r="F12" s="21" t="n"/>
      <c r="G12" s="29" t="n"/>
      <c r="H12" s="29" t="inlineStr">
        <is>
          <t>P2</t>
        </is>
      </c>
      <c r="I12" s="21" t="n"/>
      <c r="J12" s="21" t="n"/>
      <c r="K12" s="21" t="n"/>
    </row>
    <row r="13" ht="45.75" customHeight="1" s="16">
      <c r="B13" s="21" t="inlineStr">
        <is>
          <t>NR-08</t>
        </is>
      </c>
      <c r="C13" s="21" t="inlineStr">
        <is>
          <t>BUG-P2-006 — Galerie photos masquée</t>
        </is>
      </c>
      <c r="D13" s="21" t="inlineStr">
        <is>
          <t>Ouvrir la fiche détail d'un stop avec photo de colissage côté LIVREUR.</t>
        </is>
      </c>
      <c r="E13" s="21" t="inlineStr">
        <is>
          <t>La galerie photos est visible et accessible, non masquée par le bouton d'action.</t>
        </is>
      </c>
      <c r="F13" s="21" t="n"/>
      <c r="G13" s="29" t="n"/>
      <c r="H13" s="29" t="inlineStr">
        <is>
          <t>P2</t>
        </is>
      </c>
      <c r="I13" s="21" t="n"/>
      <c r="J13" s="21" t="n"/>
      <c r="K13" s="21" t="n"/>
    </row>
    <row r="14" ht="45.75" customHeight="1" s="16">
      <c r="B14" s="21" t="inlineStr">
        <is>
          <t>NR-09</t>
        </is>
      </c>
      <c r="C14" s="21" t="inlineStr">
        <is>
          <t>BUG-P2-007 — Communication du mot de passe réinitialisé</t>
        </is>
      </c>
      <c r="D14" s="21" t="inlineStr">
        <is>
          <t>Réinitialiser le mot de passe d'un utilisateur test côté ADMIN.</t>
        </is>
      </c>
      <c r="E14" s="21" t="inlineStr">
        <is>
          <t>Le nouveau mot de passe est communiqué (affiché et/ou envoyé par email), pas seulement un message de confirmation.</t>
        </is>
      </c>
      <c r="F14" s="21" t="n"/>
      <c r="G14" s="29" t="n"/>
      <c r="H14" s="29" t="inlineStr">
        <is>
          <t>P1</t>
        </is>
      </c>
      <c r="I14" s="21" t="n"/>
      <c r="J14" s="21" t="n"/>
      <c r="K14" s="21" t="n"/>
    </row>
    <row r="15" ht="45.75" customHeight="1" s="16">
      <c r="B15" s="21" t="inlineStr">
        <is>
          <t>NR-10</t>
        </is>
      </c>
      <c r="C15" s="21" t="inlineStr">
        <is>
          <t>UX-005 — Cohérence nom / domaine</t>
        </is>
      </c>
      <c r="D15" s="21" t="inlineStr">
        <is>
          <t>Vérifier le nom affiché de l'application et l'URL de déploiement.</t>
        </is>
      </c>
      <c r="E15" s="21" t="inlineStr">
        <is>
          <t>Le nom « LIVRIAL » et le domaine sont cohérents.</t>
        </is>
      </c>
      <c r="F15" s="21" t="n"/>
      <c r="G15" s="29" t="n"/>
      <c r="H15" s="29" t="inlineStr">
        <is>
          <t>P3</t>
        </is>
      </c>
      <c r="I15" s="21" t="n"/>
      <c r="J15" s="21" t="n"/>
      <c r="K15" s="21" t="n"/>
    </row>
    <row r="16" ht="45.75" customHeight="1" s="16">
      <c r="B16" s="21" t="inlineStr">
        <is>
          <t>NR-11</t>
        </is>
      </c>
      <c r="C16" s="21" t="inlineStr">
        <is>
          <t>UX-006 — Boutons livreur superposés</t>
        </is>
      </c>
      <c r="D16" s="21" t="inlineStr">
        <is>
          <t>Vue LIVREUR sur mobile et sur desktop : observer « Optimiser l'itinéraire » et « Imprimer ».</t>
        </is>
      </c>
      <c r="E16" s="21" t="inlineStr">
        <is>
          <t>Les deux boutons sont distincts et cliquables séparément.</t>
        </is>
      </c>
      <c r="F16" s="21" t="n"/>
      <c r="G16" s="29" t="n"/>
      <c r="H16" s="29" t="inlineStr">
        <is>
          <t>P1</t>
        </is>
      </c>
      <c r="I16" s="21" t="n"/>
      <c r="J16" s="21" t="n"/>
      <c r="K16" s="21" t="inlineStr">
        <is>
          <t>Corrigé le 04/08/2026 (commit b0b7836) — les deux boutons étaient en position fixe au même emplacement.</t>
        </is>
      </c>
    </row>
    <row r="17" ht="45.75" customHeight="1" s="16">
      <c r="B17" s="21" t="inlineStr">
        <is>
          <t>NR-12</t>
        </is>
      </c>
      <c r="C17" s="21" t="inlineStr">
        <is>
          <t>UX-007 — Modale « Nouvelle livraison » bloquée</t>
        </is>
      </c>
      <c r="D17" s="21" t="inlineStr">
        <is>
          <t>Ouvrir la modale ADV sans rien saisir et tenter de la fermer.</t>
        </is>
      </c>
      <c r="E17" s="21" t="inlineStr">
        <is>
          <t>La modale se ferme par la croix, par clic sur le fond ou par Échap.</t>
        </is>
      </c>
      <c r="F17" s="21" t="n"/>
      <c r="G17" s="29" t="n"/>
      <c r="H17" s="29" t="inlineStr">
        <is>
          <t>P1</t>
        </is>
      </c>
      <c r="I17" s="21" t="n"/>
      <c r="J17" s="21" t="n"/>
      <c r="K17" s="21" t="inlineStr">
        <is>
          <t>Corrigé le 04/08/2026 (commit b0b7836) — seul le bouton « Annuler » permettait de sortir.</t>
        </is>
      </c>
    </row>
    <row r="18" ht="45.75" customHeight="1" s="16">
      <c r="B18" s="21" t="inlineStr">
        <is>
          <t>NR-13</t>
        </is>
      </c>
      <c r="C18" s="21" t="inlineStr">
        <is>
          <t>Migration base — colonne colis_livres</t>
        </is>
      </c>
      <c r="D18" s="21" t="inlineStr">
        <is>
          <t>Vérifier que la colonne colis_livres existe dans la table stops, puis saisir un nombre de colis livrés côté LIVREUR et recharger.</t>
        </is>
      </c>
      <c r="E18" s="21" t="inlineStr">
        <is>
          <t>La valeur est bien persistée en base et réaffichée après rechargement.</t>
        </is>
      </c>
      <c r="F18" s="21" t="n"/>
      <c r="G18" s="29" t="n"/>
      <c r="H18" s="29" t="inlineStr">
        <is>
          <t>P1</t>
        </is>
      </c>
      <c r="I18" s="21" t="n"/>
      <c r="J18" s="21" t="n"/>
      <c r="K18" s="21" t="inlineStr">
        <is>
          <t>Prérequis : ALTER TABLE stops ADD COLUMN IF NOT EXISTS colis_livres INTEGER;</t>
        </is>
      </c>
    </row>
    <row r="19" ht="45.75" customHeight="1" s="16">
      <c r="B19" s="21" t="inlineStr">
        <is>
          <t>NR-14</t>
        </is>
      </c>
      <c r="C19" s="21" t="inlineStr">
        <is>
          <t>Limite de 12 fonctions Vercel Hobby</t>
        </is>
      </c>
      <c r="D19" s="21" t="inlineStr">
        <is>
          <t>Contrôler le déploiement Vercel après mise en ligne.</t>
        </is>
      </c>
      <c r="E19" s="21" t="inlineStr">
        <is>
          <t>Le déploiement réussit : l'itinéraire est servi par un handler GET sur /api/routing/optimize, sans créer de 13e fonction.</t>
        </is>
      </c>
      <c r="F19" s="21" t="n"/>
      <c r="G19" s="29" t="n"/>
      <c r="H19" s="29" t="inlineStr">
        <is>
          <t>P1</t>
        </is>
      </c>
      <c r="I19" s="21" t="n"/>
      <c r="J19" s="21" t="n"/>
      <c r="K19" s="21" t="n"/>
    </row>
  </sheetData>
  <mergeCells count="2">
    <mergeCell ref="B3:K3"/>
    <mergeCell ref="B2:K2"/>
  </mergeCells>
  <dataValidations count="2">
    <dataValidation sqref="G6:G19" showDropDown="0" showInputMessage="0" showErrorMessage="0" allowBlank="1" type="list">
      <formula1>"OK,KO,Partiel,Non testé"</formula1>
    </dataValidation>
    <dataValidation sqref="H6:H19" showDropDown="0" showInputMessage="0" showErrorMessage="0" allowBlank="1" type="list">
      <formula1>"P1,P2,P3"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2026-07-09T09:30:11Z</dcterms:created>
  <dcterms:modified xsi:type="dcterms:W3CDTF">2026-08-04T20:52:23Z</dcterms:modified>
  <cp:revision>0</cp:revision>
</cp:coreProperties>
</file>